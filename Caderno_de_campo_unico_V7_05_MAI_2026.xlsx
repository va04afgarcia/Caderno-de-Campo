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1.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Z:\Marta Tomé\"/>
    </mc:Choice>
  </mc:AlternateContent>
  <xr:revisionPtr revIDLastSave="0" documentId="8_{F758C1FD-E2DE-46A5-AB8E-9D07538FFE7B}" xr6:coauthVersionLast="47" xr6:coauthVersionMax="47" xr10:uidLastSave="{00000000-0000-0000-0000-000000000000}"/>
  <bookViews>
    <workbookView xWindow="-120" yWindow="-120" windowWidth="29040" windowHeight="15720" tabRatio="645" activeTab="22" xr2:uid="{00000000-000D-0000-FFFF-FFFF00000000}"/>
  </bookViews>
  <sheets>
    <sheet name="Índice" sheetId="15" r:id="rId1"/>
    <sheet name="1 IDENTIFICAÇÃO BEN_EXP_AT_OC" sheetId="1" r:id="rId2"/>
    <sheet name="2 Caraterização área sob comp." sheetId="2" r:id="rId3"/>
    <sheet name="3 Caraterização do Efe.Pecuário" sheetId="3" r:id="rId4"/>
    <sheet name="4 Registo Prot Fitossanitária" sheetId="4" r:id="rId5"/>
    <sheet name="5 Registo Operações Culturais " sheetId="5" r:id="rId6"/>
    <sheet name="5A Registo Operações Fertil" sheetId="9" r:id="rId7"/>
    <sheet name="5B Registo das Atividades" sheetId="10" r:id="rId8"/>
    <sheet name="5C Registo de atividades PP" sheetId="11" r:id="rId9"/>
    <sheet name="5D Registo de atividades FA" sheetId="21" r:id="rId10"/>
    <sheet name="6 Registo Cal. Rega" sheetId="12" r:id="rId11"/>
    <sheet name="7 Registo de Produção Animal" sheetId="7" r:id="rId12"/>
    <sheet name="8 Registo Pós-colheita" sheetId="20" r:id="rId13"/>
    <sheet name="9 Registo de Aquisições Entra" sheetId="6" r:id="rId14"/>
    <sheet name="10 Registo de Vendas" sheetId="16" r:id="rId15"/>
    <sheet name="11 Registo Gestão EP" sheetId="23" r:id="rId16"/>
    <sheet name="Anexo 1-Plano de Fertilização" sheetId="8" r:id="rId17"/>
    <sheet name="Anexo 2 - Plano Gest. Pastoreio" sheetId="13" r:id="rId18"/>
    <sheet name="Anexo 3 - Plano Alimentar" sheetId="14" r:id="rId19"/>
    <sheet name="Anexo 4 - Plano Boas Práticas H" sheetId="17" r:id="rId20"/>
    <sheet name="Anexo 5 - Plano de reprodução" sheetId="18" r:id="rId21"/>
    <sheet name="Anexo 6 - Registo visitas" sheetId="19" r:id="rId22"/>
    <sheet name="Anexo 7 - Parecer" sheetId="24" r:id="rId23"/>
  </sheets>
  <definedNames>
    <definedName name="_ftn1" localSheetId="21">'Anexo 6 - Registo visitas'!$B$45</definedName>
    <definedName name="_ftnref1" localSheetId="21">'Anexo 6 - Registo visitas'!$C$6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4" i="8" l="1"/>
  <c r="E154" i="8"/>
  <c r="D154" i="8"/>
  <c r="C115" i="8" l="1"/>
  <c r="F115" i="8" s="1"/>
  <c r="C154" i="8" s="1"/>
  <c r="H20" i="21" l="1"/>
  <c r="H21" i="21"/>
  <c r="H22" i="21"/>
  <c r="H23" i="21"/>
  <c r="H24" i="21"/>
  <c r="H25" i="21"/>
  <c r="H26" i="21"/>
  <c r="H27" i="21"/>
  <c r="H19" i="21"/>
  <c r="H18" i="21"/>
  <c r="J23" i="21" l="1"/>
  <c r="I23" i="21"/>
  <c r="K23" i="21" s="1"/>
  <c r="K29" i="11" l="1"/>
  <c r="J30" i="11"/>
  <c r="I30" i="11"/>
  <c r="K34" i="11"/>
  <c r="J34" i="11"/>
  <c r="I34" i="11"/>
  <c r="K33" i="11"/>
  <c r="J33" i="11"/>
  <c r="I33" i="11"/>
  <c r="K32" i="11"/>
  <c r="J32" i="11"/>
  <c r="I32" i="11"/>
  <c r="K31" i="11"/>
  <c r="J31" i="11"/>
  <c r="I31" i="11"/>
  <c r="K30" i="11"/>
  <c r="J29" i="11"/>
  <c r="I29" i="11"/>
  <c r="K28" i="11"/>
  <c r="J28" i="11"/>
  <c r="I28" i="11"/>
  <c r="K27" i="11"/>
  <c r="J27" i="11"/>
  <c r="I27" i="11"/>
  <c r="J19" i="21" l="1"/>
  <c r="J20" i="21"/>
  <c r="J21" i="21"/>
  <c r="J22" i="21"/>
  <c r="J24" i="21"/>
  <c r="J25" i="21"/>
  <c r="J26" i="21"/>
  <c r="J27" i="21"/>
  <c r="J18" i="21"/>
  <c r="J28" i="21" l="1"/>
  <c r="I27" i="21"/>
  <c r="K27" i="21" s="1"/>
  <c r="I26" i="21"/>
  <c r="K26" i="21" s="1"/>
  <c r="I25" i="21"/>
  <c r="K25" i="21" s="1"/>
  <c r="I24" i="21"/>
  <c r="K24" i="21" s="1"/>
  <c r="I22" i="21"/>
  <c r="K22" i="21" s="1"/>
  <c r="I21" i="21"/>
  <c r="K21" i="21" s="1"/>
  <c r="I20" i="21"/>
  <c r="K20" i="21" s="1"/>
  <c r="I19" i="21"/>
  <c r="K19" i="21" s="1"/>
  <c r="I18" i="21"/>
  <c r="K18" i="21" l="1"/>
  <c r="K28" i="21" s="1"/>
  <c r="I28" i="21" s="1"/>
  <c r="B69" i="21" s="1"/>
  <c r="B71" i="21" s="1"/>
  <c r="H28" i="21" l="1"/>
  <c r="H28" i="11"/>
  <c r="H29" i="11"/>
  <c r="H30" i="11"/>
  <c r="H31" i="11"/>
  <c r="H32" i="11"/>
  <c r="H33" i="11"/>
  <c r="H34" i="11"/>
  <c r="H2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s>
  <commentList>
    <comment ref="A8" authorId="0" shapeId="0" xr:uid="{00000000-0006-0000-0000-000001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text>
    </comment>
    <comment ref="A9" authorId="0" shapeId="0" xr:uid="{00000000-0006-0000-0000-000002000000}">
      <text>
        <r>
          <rPr>
            <b/>
            <sz val="9"/>
            <color indexed="81"/>
            <rFont val="Tahoma"/>
            <family val="2"/>
          </rPr>
          <t>Preenchimento obrigatório para todos os beneficiários que produzam produtos vegetais, independnetemente da intervenção PEPAC a que se candidatem, conforme disposto no artigo 17.º da Lei n.º 26/2013.
Registo voluntário para cumprimento do RLG 5 - Área n.º 1 — Requisitos relativos à produção primária vegetal - indicador 1.4 e 1.5 da Portaria n.º 54-Q/2023, 27 de fevereiro.</t>
        </r>
      </text>
    </comment>
    <comment ref="A10" authorId="1" shapeId="0" xr:uid="{00000000-0006-0000-0000-000003000000}">
      <text>
        <r>
          <rPr>
            <b/>
            <sz val="9"/>
            <color indexed="81"/>
            <rFont val="Tahoma"/>
            <family val="2"/>
          </rPr>
          <t>Registo obrigatório para as intervenções Agricultura Biológica e Produção Integrada.</t>
        </r>
      </text>
    </comment>
    <comment ref="A12" authorId="1" shapeId="0" xr:uid="{00000000-0006-0000-0000-000004000000}">
      <text>
        <r>
          <rPr>
            <b/>
            <sz val="9"/>
            <color indexed="81"/>
            <rFont val="Tahoma"/>
            <family val="2"/>
          </rPr>
          <t>Registo obrigatório para as seguintes intervenções, quando não há acumulação com a intervenção PRODI: Conservação do solo-enrelvamento, Apoio Zonal Peneda-Gêres - manutenção de socalcos, Apoio Zonal Montesinho-Nogueira - manutenção de rotação de sequeiro cereal-pousio, Apoio Zonal Douro Internacional, Sabor, Maçãs e Vale do Côa - manutenção de rotação de sequeiro cereal-pousio, Apoio Zonal Castro Verde, Vale do Guadiana, Piçarras e Cuba - manutenção de rotação de sequeiro cereal-pousio-pastagens temporárias naturais e Apoio Zonal Alto e Centro Alentejo - manutenção de rotação de sequeiro cereal-pousio-pastagens temporárias naturais.</t>
        </r>
      </text>
    </comment>
    <comment ref="A13" authorId="1" shapeId="0" xr:uid="{00000000-0006-0000-0000-000005000000}">
      <text>
        <r>
          <rPr>
            <b/>
            <sz val="9"/>
            <color indexed="81"/>
            <rFont val="Tahoma"/>
            <family val="2"/>
          </rPr>
          <t>Registo obrigatório para as seguintes intervenções: Maneio da Pastagem Permanente e Conservação do solo-Pastagens Biodiversas.</t>
        </r>
      </text>
    </comment>
    <comment ref="A14" authorId="0" shapeId="0" xr:uid="{00000000-0006-0000-0000-000006000000}">
      <text>
        <r>
          <rPr>
            <b/>
            <sz val="9"/>
            <color indexed="81"/>
            <rFont val="Tahoma"/>
            <family val="2"/>
          </rPr>
          <t>Registo obrigatório para os beneficiários do regime ecológico «Promoção da fertilização azotada».
Registo voluntário:
- Programa de Ação das Zonas Vulneráveis, Portaria n.º 259/2012;
- Condicionalidade, RLG2 da Portaria n.º 54-Q/2023.</t>
        </r>
      </text>
    </comment>
    <comment ref="A15" authorId="1" shapeId="0" xr:uid="{00000000-0006-0000-0000-000007000000}">
      <text>
        <r>
          <rPr>
            <b/>
            <sz val="9"/>
            <color indexed="81"/>
            <rFont val="Tahoma"/>
            <family val="2"/>
          </rPr>
          <t>Registo obrigatório para a intervenção Uso Eficiente da Água. Registo diário de frequência semanal.</t>
        </r>
      </text>
    </comment>
    <comment ref="A16" authorId="0" shapeId="0" xr:uid="{00000000-0006-0000-0000-000008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r>
          <rPr>
            <sz val="9"/>
            <color indexed="81"/>
            <rFont val="Tahoma"/>
            <family val="2"/>
          </rPr>
          <t xml:space="preserve">
</t>
        </r>
      </text>
    </comment>
    <comment ref="A17" authorId="0" shapeId="0" xr:uid="{00000000-0006-0000-0000-000009000000}">
      <text>
        <r>
          <rPr>
            <b/>
            <sz val="9"/>
            <color indexed="81"/>
            <rFont val="Tahoma"/>
            <family val="2"/>
          </rPr>
          <t>Preencher apenas no caso do beneficiário ter compromisso ativo na intervenção Agricultura Biológica.</t>
        </r>
        <r>
          <rPr>
            <sz val="9"/>
            <color indexed="81"/>
            <rFont val="Tahoma"/>
            <family val="2"/>
          </rPr>
          <t xml:space="preserve">
</t>
        </r>
      </text>
    </comment>
    <comment ref="A18" authorId="0" shapeId="0" xr:uid="{00000000-0006-0000-0000-00000A000000}">
      <text>
        <r>
          <rPr>
            <b/>
            <sz val="9"/>
            <color indexed="81"/>
            <rFont val="Tahoma"/>
            <family val="2"/>
          </rPr>
          <t>Preencher apenas no caso do beneficiário ter compromisso ativo na intervenção Agricultura Biológica ou PRODI.
Registo de aquisições da produção primária para cumprimento do RLG 5 - Área n.º 2 - Requisitos relativos à produção primária animal - indicador 2.1 da Portaria n.º 54-Q/2023, de 27 de fevereiro.</t>
        </r>
      </text>
    </comment>
    <comment ref="A19" authorId="0" shapeId="0" xr:uid="{00000000-0006-0000-0000-00000B000000}">
      <text>
        <r>
          <rPr>
            <b/>
            <sz val="9"/>
            <color indexed="81"/>
            <rFont val="Tahoma"/>
            <family val="2"/>
          </rPr>
          <t>Registo de vendas da produção primária para cumprimento do RLG 5 - Área n.º 1 — Requisitos relativos à produção primária vegetal - indicador 1.1 e Área n.º 2 - Requisitos relativos à produção primária animal - indicador 2.1 da Portaria n.º 54-Q/2023, de 27 de fevereiro.</t>
        </r>
        <r>
          <rPr>
            <sz val="9"/>
            <color indexed="81"/>
            <rFont val="Tahoma"/>
            <family val="2"/>
          </rPr>
          <t xml:space="preserve">
</t>
        </r>
      </text>
    </comment>
    <comment ref="A20" authorId="0" shapeId="0" xr:uid="{00000000-0006-0000-0000-00000C000000}">
      <text>
        <r>
          <rPr>
            <b/>
            <sz val="9"/>
            <color indexed="81"/>
            <rFont val="Tahoma"/>
            <family val="2"/>
          </rPr>
          <t>Registo voluntário da gestão de efluentes pecuários -para cumprimento da Portaria n.º 259/2012, de 28 de agosto. Preencher apenas para as exploraçãoes com parcelas situadas em Zona Vulnerável e desde que detenham animais ou efetuem valorização de efluentes pecuários nas referidas parcelas (para cumprimento do indicador 3 do RLG 2 da Portaria n.º 54-Q/2023, 27 de fevereiro).</t>
        </r>
      </text>
    </comment>
    <comment ref="A21" authorId="1" shapeId="0" xr:uid="{00000000-0006-0000-0000-00000D000000}">
      <text>
        <r>
          <rPr>
            <b/>
            <sz val="9"/>
            <color indexed="81"/>
            <rFont val="Tahoma"/>
            <family val="2"/>
          </rPr>
          <t xml:space="preserve">O Plano de Fertilização é obrigatório para as seguintes intervenções PEPAC: Produção Integrada, Maneio da Pastagem Permanente, Promoção da Fertilização Orgânica, Conservação do Solo - Pastagens Biodiversas e Uso Eficiente da Água.
Este modelo também pode ser utilizado pelo beneficiário para cumprimento dos requisitos da Portaria n.º 259/2012 quando beneficiário detem parcelas situadas em Zona Vulnerável  e para cumprimento do indicador 3.2 do RLG 2 da Portaria n.º 54-Q/2023, 27 de fevereiro.
</t>
        </r>
      </text>
    </comment>
    <comment ref="A22" authorId="0" shapeId="0" xr:uid="{00000000-0006-0000-0000-00000E000000}">
      <text>
        <r>
          <rPr>
            <b/>
            <sz val="9"/>
            <color indexed="81"/>
            <rFont val="Tahoma"/>
            <family val="2"/>
          </rPr>
          <t>O Plano de Gestão de Pastoreio é obrigatório para as seguintes intervenções PEPAC:  Maneio da Pastagem Permanente e  Conservação do Solo - Pastagens Biodiversas.</t>
        </r>
      </text>
    </comment>
    <comment ref="A23" authorId="0" shapeId="0" xr:uid="{00000000-0006-0000-0000-00000F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r>
          <rPr>
            <sz val="9"/>
            <color indexed="81"/>
            <rFont val="Tahoma"/>
            <family val="2"/>
          </rPr>
          <t xml:space="preserve">
</t>
        </r>
      </text>
    </comment>
    <comment ref="A24" authorId="0" shapeId="0" xr:uid="{00000000-0006-0000-0000-000010000000}">
      <text>
        <r>
          <rPr>
            <b/>
            <sz val="9"/>
            <color indexed="81"/>
            <rFont val="Tahoma"/>
            <family val="2"/>
          </rPr>
          <t>Preenchimento opcional.
Este separador permite aos beneficiários que tenham compromissos ativos em PRODI cumprir os requisitos que lhes são aplicáveis.</t>
        </r>
        <r>
          <rPr>
            <sz val="9"/>
            <color indexed="81"/>
            <rFont val="Tahoma"/>
            <family val="2"/>
          </rPr>
          <t xml:space="preserve">
</t>
        </r>
      </text>
    </comment>
    <comment ref="A25" authorId="0" shapeId="0" xr:uid="{00000000-0006-0000-0000-000011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r>
          <rPr>
            <sz val="9"/>
            <color indexed="81"/>
            <rFont val="Tahoma"/>
            <family val="2"/>
          </rPr>
          <t xml:space="preserve">
</t>
        </r>
      </text>
    </comment>
    <comment ref="A26" authorId="0" shapeId="0" xr:uid="{00000000-0006-0000-0000-000012000000}">
      <text>
        <r>
          <rPr>
            <b/>
            <sz val="9"/>
            <color indexed="81"/>
            <rFont val="Tahoma"/>
            <family val="2"/>
          </rPr>
          <t>Destina-se ao registos das observações das visitas efetuadas pelos técnicos das OC, ERR ou das ELA.
Deve ser impresso e após preenchimento pelos técnicos, assinado e datado, deve ser mantido pelo beneficiário durante o período de compromisso.</t>
        </r>
      </text>
    </comment>
    <comment ref="A27" authorId="0" shapeId="0" xr:uid="{00000000-0006-0000-0000-000013000000}">
      <text>
        <r>
          <rPr>
            <b/>
            <sz val="9"/>
            <color indexed="81"/>
            <rFont val="Tahoma"/>
            <family val="2"/>
          </rPr>
          <t>Destina-se à emissão de parecer dos Planos de Gestão de Pastoreio e de Fertilização e simultaneamente como identificação do beneficiário e da exploração dos referidos planos sujeitos a parcer para as seguintes intervenções:
- «Maneio da pastagem permanente»;
- «Promoção da fertilização orgânica»;
- «Conservação do solo-Pastagens biodiversas».
Este anexo deve ser impresso e após após a emissão do parecer pela entidade competente, assinado e datado, deve ser mantido pelo beneficiário durante o período de compromisso.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Cardoso, Miguel</author>
    <author>DSPP</author>
  </authors>
  <commentList>
    <comment ref="A6" authorId="0" shapeId="0" xr:uid="{00000000-0006-0000-0100-000001000000}">
      <text>
        <r>
          <rPr>
            <b/>
            <sz val="9"/>
            <color indexed="81"/>
            <rFont val="Tahoma"/>
            <family val="2"/>
          </rPr>
          <t>Identificar o beneficiário e a Exploração Pecuária.</t>
        </r>
      </text>
    </comment>
    <comment ref="A18" authorId="1" shapeId="0" xr:uid="{00000000-0006-0000-0100-000002000000}">
      <text>
        <r>
          <rPr>
            <b/>
            <sz val="9"/>
            <color indexed="81"/>
            <rFont val="Tahoma"/>
            <family val="2"/>
          </rPr>
          <t>No caso de sociedades identificar o sócio gerente ou pessoa em quem delegou a responsabilidade técnica da exploração pecuária.
No caso de beneficiário em nome individual quando o mesmo nomeou um representante legal ou responsável técnico.</t>
        </r>
      </text>
    </comment>
    <comment ref="A19" authorId="2" shapeId="0" xr:uid="{00000000-0006-0000-0100-000003000000}">
      <text>
        <r>
          <rPr>
            <b/>
            <sz val="9"/>
            <color indexed="81"/>
            <rFont val="Tahoma"/>
            <family val="2"/>
          </rPr>
          <t>Sócio gerente
Representante legal
Responsável técnico</t>
        </r>
        <r>
          <rPr>
            <sz val="9"/>
            <color indexed="81"/>
            <rFont val="Tahoma"/>
            <family val="2"/>
          </rPr>
          <t xml:space="preserve">
</t>
        </r>
      </text>
    </comment>
    <comment ref="A25" authorId="0" shapeId="0" xr:uid="{00000000-0006-0000-0100-000004000000}">
      <text>
        <r>
          <rPr>
            <b/>
            <sz val="9"/>
            <color indexed="81"/>
            <rFont val="Tahoma"/>
            <family val="2"/>
          </rPr>
          <t>Pretende-se que seja feita a caraterização em termos de localização, área e modo de produção, identificando a possível existência de assistência técnica, tipo de produção animal/vegetal e eventual transformação da produção na própria exploração.</t>
        </r>
      </text>
    </comment>
    <comment ref="A30" authorId="0" shapeId="0" xr:uid="{00000000-0006-0000-0100-000005000000}">
      <text>
        <r>
          <rPr>
            <sz val="9"/>
            <color indexed="81"/>
            <rFont val="Tahoma"/>
            <family val="2"/>
          </rPr>
          <t>No caso de pastoreio em terrenos de baldio, p. ex.</t>
        </r>
      </text>
    </comment>
    <comment ref="I38" authorId="0" shapeId="0" xr:uid="{00000000-0006-0000-0100-000006000000}">
      <text>
        <r>
          <rPr>
            <sz val="9"/>
            <color indexed="81"/>
            <rFont val="Tahoma"/>
            <family val="2"/>
          </rPr>
          <t>Quando existe, registar o tipo de transformação realizado.</t>
        </r>
      </text>
    </comment>
    <comment ref="K38" authorId="2" shapeId="0" xr:uid="{00000000-0006-0000-0100-000007000000}">
      <text>
        <r>
          <rPr>
            <b/>
            <sz val="9"/>
            <color indexed="81"/>
            <rFont val="Tahoma"/>
            <family val="2"/>
          </rPr>
          <t>Se resposta é "SIM", registar o tipo de transformação realizado.</t>
        </r>
      </text>
    </comment>
    <comment ref="A40" authorId="2" shapeId="0" xr:uid="{00000000-0006-0000-0100-000008000000}">
      <text>
        <r>
          <rPr>
            <b/>
            <sz val="9"/>
            <color indexed="81"/>
            <rFont val="Tahoma"/>
            <family val="2"/>
          </rPr>
          <t>Preencher com as diferentes espécies pecuárias que se encontrem em AB ou PRODI, independentemente que se encontrem candidatas a apoio (AB) ou não.
No caso de o beneficiário deter outras espécies diferentes das elencadas ou deter animais em PRODI, deverá acrescentar esses animais neste campo.
Indíce de conversão de cabeças naturais em cabeças normais (CN)
Bovinos com mais de 2 anos - 1,0
Bovinos de 6 meses a 2 anos - 0,6
Bovinos com menos de 6 meses - 0,4</t>
        </r>
        <r>
          <rPr>
            <sz val="9"/>
            <color indexed="81"/>
            <rFont val="Tahoma"/>
            <family val="2"/>
          </rPr>
          <t xml:space="preserve">
</t>
        </r>
      </text>
    </comment>
    <comment ref="A44" authorId="0" shapeId="0" xr:uid="{00000000-0006-0000-0100-000009000000}">
      <text>
        <r>
          <rPr>
            <b/>
            <sz val="9"/>
            <color indexed="81"/>
            <rFont val="Tahoma"/>
            <family val="2"/>
          </rPr>
          <t>Identificar a Comissão de Coordenação e Desenvolvimento Regional em cuja área de influência se localiza a sede da exploração.</t>
        </r>
      </text>
    </comment>
    <comment ref="A47" authorId="0" shapeId="0" xr:uid="{00000000-0006-0000-0100-00000A000000}">
      <text>
        <r>
          <rPr>
            <b/>
            <sz val="9"/>
            <color indexed="81"/>
            <rFont val="Tahoma"/>
            <family val="2"/>
          </rPr>
          <t xml:space="preserve">Identificação do OC - Organismo de Controle e Certificação que efetua as ações de controlo durante todo o ciclo produtivo. </t>
        </r>
        <r>
          <rPr>
            <sz val="9"/>
            <color indexed="81"/>
            <rFont val="Tahoma"/>
            <family val="2"/>
          </rPr>
          <t xml:space="preserve">
A lista de OC encontra-se disponível na página da DGADR.</t>
        </r>
      </text>
    </comment>
    <comment ref="E47" authorId="2" shapeId="0" xr:uid="{00000000-0006-0000-0100-00000B000000}">
      <text>
        <r>
          <rPr>
            <b/>
            <sz val="9"/>
            <color indexed="81"/>
            <rFont val="Tahoma"/>
            <family val="2"/>
          </rPr>
          <t>Identificação do OC - Organismo de Controle e Certificação que efetua as ações de controlo durante todo o ciclo produtivo. 
A lista de OC encontra-se disponível na página da DGADR.</t>
        </r>
        <r>
          <rPr>
            <sz val="9"/>
            <color indexed="81"/>
            <rFont val="Tahoma"/>
            <family val="2"/>
          </rPr>
          <t xml:space="preserve">
</t>
        </r>
      </text>
    </comment>
    <comment ref="I47" authorId="0" shapeId="0" xr:uid="{00000000-0006-0000-0100-00000C000000}">
      <text>
        <r>
          <rPr>
            <b/>
            <sz val="9"/>
            <color indexed="81"/>
            <rFont val="Tahoma"/>
            <family val="2"/>
          </rPr>
          <t xml:space="preserve">Identificação do OC - Organismo de Controle e Certificação que efetua as ações de controlo durante todo o ciclo produtivo. </t>
        </r>
        <r>
          <rPr>
            <sz val="9"/>
            <color indexed="81"/>
            <rFont val="Tahoma"/>
            <family val="2"/>
          </rPr>
          <t xml:space="preserve">
A lista de OC encontra-se disponível na página da DGADR.</t>
        </r>
      </text>
    </comment>
    <comment ref="A48" authorId="2" shapeId="0" xr:uid="{00000000-0006-0000-0100-00000D000000}">
      <text>
        <r>
          <rPr>
            <b/>
            <sz val="9"/>
            <color indexed="81"/>
            <rFont val="Tahoma"/>
            <family val="2"/>
          </rPr>
          <t xml:space="preserve">Identificação da ERR - Entidade Reconhecedora de Regantes que efetua as ações de controlo durante todo o ciclo produtivo. 
</t>
        </r>
        <r>
          <rPr>
            <sz val="9"/>
            <color indexed="81"/>
            <rFont val="Tahoma"/>
            <family val="2"/>
          </rPr>
          <t xml:space="preserve">A lista de ERR encontra-se disponível na página da DGADR.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Cardoso, Miguel</author>
  </authors>
  <commentList>
    <comment ref="A5" authorId="0" shapeId="0" xr:uid="{00000000-0006-0000-0200-000001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t>
        </r>
      </text>
    </comment>
    <comment ref="B5" authorId="1" shapeId="0" xr:uid="{00000000-0006-0000-0200-000002000000}">
      <text>
        <r>
          <rPr>
            <b/>
            <sz val="9"/>
            <color indexed="81"/>
            <rFont val="Tahoma"/>
            <family val="2"/>
          </rPr>
          <t>Preencher com o n.º de subparcela constante no iE para a corresponde parcela com o n.º sequencial registado na coluna anterior.
Entende-se por Subparcela a área corresponde à porção contínua de terreno homogéneo com a mesma ocupação de solo existente numa mesma parcela e que consta do documento iE</t>
        </r>
      </text>
    </comment>
    <comment ref="C5" authorId="0" shapeId="0" xr:uid="{00000000-0006-0000-0200-000003000000}">
      <text>
        <r>
          <rPr>
            <b/>
            <sz val="9"/>
            <color indexed="81"/>
            <rFont val="Tahoma"/>
            <family val="2"/>
          </rPr>
          <t>A Zona Homogénea, que deverá ser identificada por uma letra maiúscula, tanto pode corresponder a uma subparcela, como a mais do que uma. Nas culturas arbóreas e arbustivas, a zona homogénea compreende as mesmas características dominantes quanto à natureza do solo, à topografia e exposição, à espécie e variedade das plantas, à idade das plantas e às práticas culturais.
No caso das culturas anuais, pertencentes à mesma unidade de produção, a zona homogênea compreende as mesmas características dominantes. Uma mesma zona homogénea, para efeitos de registo no presente caderno de campo não deve contemplar conjuntamente área em conversão e área em produção biológica. Por exemplo: Pode incluir uma vinha com várias castas, desde que as outras caraterísticas dominantes sejam uniformes quanto à natureza do solo, à topografia, ao passado cultural e às práticas culturais e a finalidade da produção seja a mesma (uva para vinho ou uva de mesa não podem estar na mesma zona homogénea mas, vinha com diferentes castas podem estar na mesma zona homogénea).</t>
        </r>
      </text>
    </comment>
    <comment ref="D5" authorId="0" shapeId="0" xr:uid="{00000000-0006-0000-0200-000004000000}">
      <text>
        <r>
          <rPr>
            <b/>
            <sz val="9"/>
            <color indexed="81"/>
            <rFont val="Tahoma"/>
            <family val="2"/>
          </rPr>
          <t>Convencional (CV), Produção Integrada (PRODI), Manutenção Agricultura Biológica (AB), Conversão para AB de 1º ano (C1), Conversão para AB de 2º ano (C2), Conversão para AB de 3º ano (C3).</t>
        </r>
      </text>
    </comment>
    <comment ref="E5" authorId="0" shapeId="0" xr:uid="{00000000-0006-0000-0200-000005000000}">
      <text>
        <r>
          <rPr>
            <b/>
            <sz val="9"/>
            <color indexed="81"/>
            <rFont val="Tahoma"/>
            <family val="2"/>
          </rPr>
          <t>Agricultura Biológica (AB), Produção Integrada (PRODI), Maneio da pastagem Permanente (MPP), Promoção de Fertilização Orgânica (PFO), Conservação do solo – Sementeira direta (SD), Conservação do solo – Enrelvamento (ENR), Conservação do solo – Pastagens biodiversas (PB), Uso Eficiente da Água (UEA), Apoio Zonal Peneda-Gerês - Manutenção de Socalcos (AZPGMS), Apoio Zonal Montesinho-Nogueira (AZMN),  Apoio Zonal Douro Internacional, Sabor, Maçãs e Vale do Côa (AZDISMVC), Aooio Zonal Castro Verde, Vale do Guadiana, Piçarras e Cuba (AZCVVGPC) ou Apoio Zonal Alto e Centro Alentejo (AZACA).
Sempre que a mesma subparcela esteja candidata simultaneamente a mais do que uma intervenção PEPAC, o presente campo deve ser preenchido com as siglas de todos os apoios em questão separados por um hifen. EX: AB-ENR-UEA.</t>
        </r>
      </text>
    </comment>
    <comment ref="G5" authorId="0" shapeId="0" xr:uid="{00000000-0006-0000-0200-000006000000}">
      <text>
        <r>
          <rPr>
            <b/>
            <sz val="9"/>
            <color indexed="81"/>
            <rFont val="Tahoma"/>
            <family val="2"/>
          </rPr>
          <t>Exemplos: argiloso (ARG), franco (FRA), arenoso (ARE), franco-argiloso (FAG).
A textura ou granulometria refere-se à proporção de argila, limo e areia do solo. 
Assim, a textura de um solo pode ser observada no respetivo boletim de análises que deve constar em anexo a este CC.</t>
        </r>
      </text>
    </comment>
    <comment ref="I5" authorId="0" shapeId="0" xr:uid="{00000000-0006-0000-0200-000007000000}">
      <text>
        <r>
          <rPr>
            <b/>
            <sz val="9"/>
            <color indexed="81"/>
            <rFont val="Tahoma"/>
            <family val="2"/>
          </rPr>
          <t>Preencher apenas nas subparcelas com culturas temporárias.
Sucessão de culturas no mesmo ano.</t>
        </r>
      </text>
    </comment>
    <comment ref="J5" authorId="0" shapeId="0" xr:uid="{00000000-0006-0000-0200-000008000000}">
      <text>
        <r>
          <rPr>
            <b/>
            <sz val="9"/>
            <color indexed="81"/>
            <rFont val="Tahoma"/>
            <family val="2"/>
          </rPr>
          <t>O Índice de qualificação fisiográfica da parcela (IQFP) fornece informação sobre o risco de erosão do solo existente nas parcelas. O seu valor varia de 1 a 5 (do menor para o maior declive) e quanto maior for este valor, maior é o risco de perda de solo devido à erosão (de preenchimento facultativo); pode ser consultado no iE</t>
        </r>
        <r>
          <rPr>
            <sz val="9"/>
            <color indexed="81"/>
            <rFont val="Tahoma"/>
            <family val="2"/>
          </rPr>
          <t>.</t>
        </r>
      </text>
    </comment>
    <comment ref="K5" authorId="0" shapeId="0" xr:uid="{00000000-0006-0000-0200-000009000000}">
      <text>
        <r>
          <rPr>
            <b/>
            <sz val="9"/>
            <color indexed="81"/>
            <rFont val="Tahoma"/>
            <family val="2"/>
          </rPr>
          <t>Por Boas Práticas Agrícolas (BPA), entende-se o conjunto de princípios, normas e recomendações técnicas. Exemplos: enrelvamento natural ou semeado (ENR), mobilização mínima (M.MÍN), sementeira direta (SEM.D), curvas de nível (C.NÍV), cobertura vegetal do solo (COB), bordaduras ervadas (BORD), bandas de compensação ecológica (BCE), refúgios para fauna selvagem (REF), sebes vegetais (SEB), variedades resistentes (RES), podas de arejamento (P.AR),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4" authorId="0" shapeId="0" xr:uid="{00000000-0006-0000-0300-000001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r>
          <rPr>
            <sz val="9"/>
            <color indexed="81"/>
            <rFont val="Tahoma"/>
            <family val="2"/>
          </rPr>
          <t xml:space="preserve">
</t>
        </r>
      </text>
    </comment>
    <comment ref="D7" authorId="0" shapeId="0" xr:uid="{00000000-0006-0000-0300-000002000000}">
      <text>
        <r>
          <rPr>
            <b/>
            <sz val="9"/>
            <color indexed="81"/>
            <rFont val="Tahoma"/>
            <family val="2"/>
          </rPr>
          <t>Modo de Produção Biológico ou Produção Integrada</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Cardoso, Miguel</author>
  </authors>
  <commentList>
    <comment ref="A2" authorId="0" shapeId="0" xr:uid="{00000000-0006-0000-0400-000001000000}">
      <text>
        <r>
          <rPr>
            <b/>
            <sz val="9"/>
            <color indexed="81"/>
            <rFont val="Tahoma"/>
            <family val="2"/>
          </rPr>
          <t>Preenchimento obrigatório para todos os beneficiários que produzam produtos vegetais, independentemente da intervenção PEPAC a que se candidatem, conforme disposto no artigo 16.º e 17.º da Lei n.º 26/2013 (separador na integra) e para cumprimento do RLG 5 - Área n.º 1 — Requisitos relativos à produção primária vegetal - indicador 1.4 e 1.5 (nos campos identificados para o efeito). 
No âmbito da PRODI, o presente Separador destina-se ao registo de todas as substâncias que contribuam para a proteção fitossanitária e desenvolvimento das culturas:
- Fungicidas – combatem fungos
- Insecticidas – combatem insectos
- Acaricidas – combatem ácaros
- Herbicidas – combatem ervas infestantes
- Nematodicidas – combatem nemátodos
- Moluscicidas – combatem lesmas e caracóis
- Rodenticidas – combatem ratos
- Algicidas – combatem algas
- Bactericidas – combatem bactérias
- Adjuvantes – substâncias que se adicionam às caldas e lhes imprimem certas propriedades
- Reguladores de crescimento</t>
        </r>
      </text>
    </comment>
    <comment ref="I5" authorId="0" shapeId="0" xr:uid="{00000000-0006-0000-0400-000002000000}">
      <text>
        <r>
          <rPr>
            <b/>
            <sz val="9"/>
            <color indexed="81"/>
            <rFont val="Tahoma"/>
            <family val="2"/>
          </rPr>
          <t>Campo de preenchimento obrigatório para efeito de “Identificação do local de aplicação dos biocidas", conforme exigido para cumprimento do indicador 1,5, da área 1, do RLG 5 da Portaria n.º 54-Q/2023.</t>
        </r>
      </text>
    </comment>
    <comment ref="A7" authorId="0" shapeId="0" xr:uid="{00000000-0006-0000-0400-000003000000}">
      <text>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text>
    </comment>
    <comment ref="A14" authorId="0" shapeId="0" xr:uid="{00000000-0006-0000-0400-000004000000}">
      <text>
        <r>
          <rPr>
            <b/>
            <sz val="9"/>
            <color indexed="81"/>
            <rFont val="Tahoma"/>
            <family val="2"/>
          </rPr>
          <t xml:space="preserve">Data deve ser registada no formato dd-mm-aaaa.
</t>
        </r>
        <r>
          <rPr>
            <b/>
            <sz val="9"/>
            <color indexed="57"/>
            <rFont val="Tahoma"/>
            <family val="2"/>
          </rPr>
          <t xml:space="preserve">
</t>
        </r>
        <r>
          <rPr>
            <b/>
            <sz val="9"/>
            <color indexed="81"/>
            <rFont val="Tahoma"/>
            <family val="2"/>
          </rPr>
          <t>Campo de preenchimento obrigatório para todos os registos.</t>
        </r>
      </text>
    </comment>
    <comment ref="B14" authorId="1" shapeId="0" xr:uid="{00000000-0006-0000-0400-000005000000}">
      <text>
        <r>
          <rPr>
            <sz val="9"/>
            <color indexed="81"/>
            <rFont val="Tahoma"/>
            <family val="2"/>
          </rPr>
          <t>Estado fenológico da cultura” deve ser registado por zona homogénea.</t>
        </r>
      </text>
    </comment>
    <comment ref="C14" authorId="1" shapeId="0" xr:uid="{00000000-0006-0000-0400-000006000000}">
      <text>
        <r>
          <rPr>
            <b/>
            <sz val="9"/>
            <color indexed="81"/>
            <rFont val="Tahoma"/>
            <family val="2"/>
          </rPr>
          <t>Nome da praga, doença, infestante ou grupo de infestantes.
Campo de preenchimento obrigatório para cumprimento da exigência de manutenção de registo estabelecida no indicador 1.4, da área 1, RLG 5, Anexo III, Portaria n.º 54-Q/2023. Em alternativa, o referido diploma prevê a hipótese de o beneficiário indicar o "</t>
        </r>
        <r>
          <rPr>
            <b/>
            <i/>
            <sz val="9"/>
            <color indexed="81"/>
            <rFont val="Tahoma"/>
            <family val="2"/>
          </rPr>
          <t>efeito a atingir</t>
        </r>
        <r>
          <rPr>
            <b/>
            <sz val="9"/>
            <color indexed="81"/>
            <rFont val="Tahoma"/>
            <family val="2"/>
          </rPr>
          <t>", que no presente modelo é possível preenchendo o campo «justificação da intervenção».</t>
        </r>
      </text>
    </comment>
    <comment ref="D14" authorId="1" shapeId="0" xr:uid="{00000000-0006-0000-0400-000007000000}">
      <text>
        <r>
          <rPr>
            <sz val="9"/>
            <color indexed="81"/>
            <rFont val="Tahoma"/>
            <family val="2"/>
          </rPr>
          <t>Metodologia utilizada: observação visual/tipo de armadilha</t>
        </r>
      </text>
    </comment>
    <comment ref="E14" authorId="1" shapeId="0" xr:uid="{00000000-0006-0000-0400-000008000000}">
      <text>
        <r>
          <rPr>
            <sz val="9"/>
            <color indexed="81"/>
            <rFont val="Tahoma"/>
            <family val="2"/>
          </rPr>
          <t>NEA - Nível Económico de Ataque.
“Estimativa do risco/NEA” – Registos que levam à tomada de decisão da eventual realização dos tratamentos fitossanitários.
Quantificação/resultado obtido da estimativa do risco.</t>
        </r>
      </text>
    </comment>
    <comment ref="F14" authorId="1" shapeId="0" xr:uid="{00000000-0006-0000-0400-000009000000}">
      <text>
        <r>
          <rPr>
            <b/>
            <sz val="9"/>
            <color indexed="81"/>
            <rFont val="Tahoma"/>
            <family val="2"/>
          </rPr>
          <t xml:space="preserve">A justificação da intervenção, sempre que possível, deve incluir as condições climáticas que levaram ao tratamento fitossanitário.
Para cumprimento da exigência de manutenção de registo estabelecida no indicador 1.4, da área 1, RLG 5, Anexo III, Portaria n.º 54-Q/2023, o beneficiário poderá indicar o </t>
        </r>
        <r>
          <rPr>
            <b/>
            <i/>
            <sz val="9"/>
            <color indexed="81"/>
            <rFont val="Tahoma"/>
            <family val="2"/>
          </rPr>
          <t xml:space="preserve">efeito a atingir </t>
        </r>
        <r>
          <rPr>
            <b/>
            <sz val="9"/>
            <color indexed="81"/>
            <rFont val="Tahoma"/>
            <family val="2"/>
          </rPr>
          <t>com a aplicação de produto fitofarmacêutico no presente campo em alternativa ao preenchimento do campo «</t>
        </r>
        <r>
          <rPr>
            <b/>
            <i/>
            <sz val="9"/>
            <color indexed="81"/>
            <rFont val="Tahoma"/>
            <family val="2"/>
          </rPr>
          <t>inimigo</t>
        </r>
        <r>
          <rPr>
            <b/>
            <sz val="9"/>
            <color indexed="81"/>
            <rFont val="Tahoma"/>
            <family val="2"/>
          </rPr>
          <t>».</t>
        </r>
      </text>
    </comment>
    <comment ref="G14" authorId="1" shapeId="0" xr:uid="{00000000-0006-0000-0400-00000A000000}">
      <text>
        <r>
          <rPr>
            <sz val="9"/>
            <color indexed="81"/>
            <rFont val="Tahoma"/>
            <family val="2"/>
          </rPr>
          <t>Observação de presença de auxiliares ou largada de auxiliares (sobretudo em estufa) espécies e quantidades.</t>
        </r>
      </text>
    </comment>
    <comment ref="H14" authorId="2" shapeId="0" xr:uid="{00000000-0006-0000-0400-00000B000000}">
      <text>
        <r>
          <rPr>
            <b/>
            <sz val="9"/>
            <color indexed="81"/>
            <rFont val="Tahoma"/>
            <family val="2"/>
          </rPr>
          <t>Todos os aplicadores devem efetuar e manter, durante pelo menos três anos, o registo de quaisquer tratamentos efetuados com produtos fitofarmacêuticos em território nacional, designadamente como anexo ao caderno de campo,  incluindo, nomeadamente, a referência ao nome comercial e ao número de autorização de venda do produto, o nome e número de autorização de exercício de atividade do estabelecimento de venda onde o produto foi adquirido, a data e a dose ou concentração e volume de calda da aplicação, a área, culturas e respetivo inimigo, ou outra finalidade para que o produto foi utilizado.</t>
        </r>
      </text>
    </comment>
    <comment ref="H15" authorId="0" shapeId="0" xr:uid="{00000000-0006-0000-0400-00000C000000}">
      <text>
        <r>
          <rPr>
            <b/>
            <sz val="9"/>
            <color indexed="81"/>
            <rFont val="Tahoma"/>
            <family val="2"/>
          </rPr>
          <t>De acordo com os casos aplicáveis preencher com:
- Autorização Provisória de venda (APV);
- Autorização de Venda (AV);
- Autorização de Comércio Paralelo (ACP);
- Autorização Excecional de Emergência (AEE).</t>
        </r>
        <r>
          <rPr>
            <b/>
            <sz val="9"/>
            <color indexed="57"/>
            <rFont val="Tahoma"/>
            <family val="2"/>
          </rPr>
          <t xml:space="preserve">
</t>
        </r>
        <r>
          <rPr>
            <b/>
            <u/>
            <sz val="9"/>
            <color indexed="81"/>
            <rFont val="Tahoma"/>
            <family val="2"/>
          </rPr>
          <t>Condicionalidade:</t>
        </r>
        <r>
          <rPr>
            <b/>
            <sz val="9"/>
            <color indexed="81"/>
            <rFont val="Tahoma"/>
            <family val="2"/>
          </rPr>
          <t xml:space="preserve"> campo de preenchimento obrigatório para efeito do cumprimento do indicador 1.4, da área 1, do RLG 5 da Portaria n.º 54-Q/2023.</t>
        </r>
      </text>
    </comment>
    <comment ref="I15" authorId="1" shapeId="0" xr:uid="{00000000-0006-0000-0400-00000D000000}">
      <text>
        <r>
          <rPr>
            <b/>
            <sz val="9"/>
            <color indexed="81"/>
            <rFont val="Tahoma"/>
            <family val="2"/>
          </rPr>
          <t>SA – Substância Ativa do produto firofarmacêutico ou do produto biocida aplicado.
No caso de aplicação de biocida registar qual o biocida utilizado.
Para cumprimento do indicador 1.5 da Área 1 do RLG5, Anexo III da Portaria n.º 54-Q/2023, este campo é de preenchimento obrigatório.</t>
        </r>
        <r>
          <rPr>
            <sz val="9"/>
            <color indexed="81"/>
            <rFont val="Tahoma"/>
            <family val="2"/>
          </rPr>
          <t xml:space="preserve">
</t>
        </r>
        <r>
          <rPr>
            <b/>
            <sz val="9"/>
            <color indexed="81"/>
            <rFont val="Tahoma"/>
            <family val="2"/>
          </rPr>
          <t>Substância de base - Consideram-se as substâncias de base aprovadas a nível comunitário para utilização na proteção fitossanitária das culturas, nos termos do Regulamento (CE) nº 1107/2009 de 21 de outubro.
Deve ser preenchida com um dos seguintes valores:
- Equisetum arvense</t>
        </r>
        <r>
          <rPr>
            <sz val="9"/>
            <color indexed="81"/>
            <rFont val="Tahoma"/>
            <family val="2"/>
          </rPr>
          <t xml:space="preserve">;
- </t>
        </r>
        <r>
          <rPr>
            <b/>
            <sz val="9"/>
            <color indexed="81"/>
            <rFont val="Tahoma"/>
            <family val="2"/>
          </rPr>
          <t>Cloridrato de quitosano;
- Sacarose;
- Hidróxido de cálcio;
- Lecitina;</t>
        </r>
        <r>
          <rPr>
            <sz val="9"/>
            <color indexed="81"/>
            <rFont val="Tahoma"/>
            <family val="2"/>
          </rPr>
          <t xml:space="preserve">
- </t>
        </r>
        <r>
          <rPr>
            <b/>
            <sz val="9"/>
            <color indexed="81"/>
            <rFont val="Tahoma"/>
            <family val="2"/>
          </rPr>
          <t>Salix spp. cortex;
- Vinagre;
- Frutose;
- Hidrogenocarbonato de sódio;
- Fosfato diamónico;
- Soro de leite;
- Óleo de girassol;
- Peróxido de hidrogénio;
- Urtica spp.;
- Carvão vegetal com bentonite;
- Cloreto de sódio;
- Pó de sementes de mostarda;
- Cerveja;
- Talco E553B;
- Óleo de cebola;
- L-cisteína (E 920);
- Leite de vaca;
- Extrato de Bolbo de Allium cepa L.;
- Quitosano</t>
        </r>
      </text>
    </comment>
    <comment ref="J15" authorId="0" shapeId="0" xr:uid="{00000000-0006-0000-0400-00000E000000}">
      <text>
        <r>
          <rPr>
            <b/>
            <u/>
            <sz val="9"/>
            <color indexed="81"/>
            <rFont val="Tahoma"/>
            <family val="2"/>
          </rPr>
          <t>Condicionalidade:</t>
        </r>
        <r>
          <rPr>
            <b/>
            <sz val="9"/>
            <color indexed="81"/>
            <rFont val="Tahoma"/>
            <family val="2"/>
          </rPr>
          <t xml:space="preserve"> campo de preenchimento obrigatório para efeitos dos indicadores 1.4 e 1.5, da área 1 do RLG 5 da portaria n.º 54-Q/2023.</t>
        </r>
      </text>
    </comment>
    <comment ref="K15" authorId="0" shapeId="0" xr:uid="{00000000-0006-0000-0400-00000F000000}">
      <text>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text>
    </comment>
    <comment ref="L15" authorId="0" shapeId="0" xr:uid="{00000000-0006-0000-0400-000010000000}">
      <text>
        <r>
          <rPr>
            <b/>
            <sz val="9"/>
            <color indexed="81"/>
            <rFont val="Tahoma"/>
            <family val="2"/>
          </rPr>
          <t>A área tratada deve ser expressa em hectares, no caso de aplicações de produtos fitofarmacêuticos sobre culturas ou em m</t>
        </r>
        <r>
          <rPr>
            <b/>
            <vertAlign val="superscript"/>
            <sz val="9"/>
            <color indexed="81"/>
            <rFont val="Tahoma"/>
            <family val="2"/>
          </rPr>
          <t>2</t>
        </r>
        <r>
          <rPr>
            <b/>
            <sz val="9"/>
            <color indexed="81"/>
            <rFont val="Tahoma"/>
            <family val="2"/>
          </rPr>
          <t>, no caso de tratamentos em instalações com produtos fitofarmacêuticos ou biocidas.</t>
        </r>
        <r>
          <rPr>
            <b/>
            <sz val="9"/>
            <color indexed="57"/>
            <rFont val="Tahoma"/>
            <family val="2"/>
          </rPr>
          <t xml:space="preserve">
</t>
        </r>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text>
    </comment>
    <comment ref="M15" authorId="2" shapeId="0" xr:uid="{00000000-0006-0000-0400-000011000000}">
      <text>
        <r>
          <rPr>
            <b/>
            <sz val="9"/>
            <color indexed="81"/>
            <rFont val="Tahoma"/>
            <family val="2"/>
          </rPr>
          <t>Número de identificação do (ou dos) aplicadores dos PF's.</t>
        </r>
      </text>
    </comment>
    <comment ref="N15" authorId="0" shapeId="0" xr:uid="{00000000-0006-0000-0400-000012000000}">
      <text>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text>
    </comment>
    <comment ref="O15" authorId="0" shapeId="0" xr:uid="{00000000-0006-0000-0400-000013000000}">
      <text>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r>
          <rPr>
            <sz val="9"/>
            <color indexed="81"/>
            <rFont val="Tahoma"/>
            <family val="2"/>
          </rPr>
          <t xml:space="preserve">
</t>
        </r>
      </text>
    </comment>
    <comment ref="H16" authorId="0" shapeId="0" xr:uid="{00000000-0006-0000-0400-000014000000}">
      <text>
        <r>
          <rPr>
            <b/>
            <u/>
            <sz val="9"/>
            <color indexed="81"/>
            <rFont val="Tahoma"/>
            <family val="2"/>
          </rPr>
          <t>Condicionalidade</t>
        </r>
        <r>
          <rPr>
            <b/>
            <sz val="9"/>
            <color indexed="81"/>
            <rFont val="Tahoma"/>
            <family val="2"/>
          </rPr>
          <t>: campo de preenchimento  obrigatório para efeito do cumprimento do indicador 1.4, da área 1, do RLG 5 da Portaria n.º 54-Q/2023.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Cardoso, Miguel</author>
  </authors>
  <commentList>
    <comment ref="A2" authorId="0" shapeId="0" xr:uid="{00000000-0006-0000-0500-000001000000}">
      <text>
        <r>
          <rPr>
            <b/>
            <sz val="9"/>
            <color indexed="81"/>
            <rFont val="Tahoma"/>
            <family val="2"/>
          </rPr>
          <t>Registo obrigatório para as intervenções Agricultura Biológica e Produção Integrada.
No caso de PRODI, quando existir acumulação (quando permitida) com as intervenções: Conservação do Solo - Sementeira Direta, Conservação do Solo - Enrelvamento, Uso Eficiente da Água, Apoio Zonal Peneda-Gerês - manutenção de socalcos, Apoio Zonal Montesinho-Nogueira - manutenção de rotação de sequeiro cereal-pousio, Apoio Zonal Douro Internacional, Sabor, Maçãs e Vale do Côa - manutenção de rotação de sequeiro cereal-pousio, Apoio Zonal Castro Verde, Vale do Guadiana, Piçarras e Cuba - manutenção de rotação de sequeiro cereal-pousio-pastagens temporárias naturais e Apoio Zonal Alto e Centro Alentejo - manutenção de rotação de sequeiro cereal-pousio-pastagens temporárias naturais, o preenchimento do registo 5 dispensa o preenchimento do registo 5A e 5B.
No caso de Agricuktura Biológica, quando existir acumulação com as intervenções: Conservação do Solo - Enrelvamento, Apoio Zonal Peneda-Gerês - manutenção de socalcos, Apoio Zonal Montesinho-Nogueira - manutenção de rotação de sequeiro cereal-pousio, Apoio Zonal Douro Internacional, Sabor, Maçãs e Vale do Côa - manutenção de rotação de sequeiro cereal-pousio, Apoio Zonal Castro Verde, Vale do Guadiana, Piçarras e Cuba - manutenção de rotação de sequeiro cereal-pousio-pastagens temporárias naturais e Apoio Zonal Alto e Centro Alentejo - manutenção de rotação de sequeiro cereal-pousio-pastagens temporárias naturais, o preenchimento do registo 5 não dispensa o preenchimento do registo 5B.
Quando há acumulação entre Agricultura Biológica e o Uso Eficiente da Água, o preenchimento do registo 5 dispensa o preenchimento do registo 5A.
.
Pretende-se que se registe todo o tipo de intervenção efetuado ao nível da parcela agrícola ou zona homogénea e por cultura, como por exemplo a aplicação de fertilizantes com base no plano de fertilização, a utilização de cultivares resistentes e ou material de propagação vegetativa categoria normalizada ou certificada, controlo de infestantes, como a monda manual, mobilização do solo, limpeza e preparação do terreno. Incluir também podas sanitárias, destruição e queima da lenha, desinfeção de utiensilios, entre outros.</t>
        </r>
      </text>
    </comment>
    <comment ref="D5" authorId="1" shapeId="0" xr:uid="{00000000-0006-0000-0500-000002000000}">
      <text>
        <r>
          <rPr>
            <b/>
            <sz val="9"/>
            <color indexed="81"/>
            <rFont val="Tahoma"/>
            <family val="2"/>
          </rPr>
          <t xml:space="preserve">Exploração em conversão para Produção Biológica (PB), assinalar:
C1 - Primeiro ano de conversão para PB;
C2 - Segundo ano de conversão para PB;
C3 - Terceiro ano de conversão para PB.
</t>
        </r>
        <r>
          <rPr>
            <sz val="9"/>
            <color indexed="81"/>
            <rFont val="Tahoma"/>
            <family val="2"/>
          </rPr>
          <t xml:space="preserve">
</t>
        </r>
      </text>
    </comment>
    <comment ref="A9" authorId="1" shapeId="0" xr:uid="{00000000-0006-0000-0500-000003000000}">
      <text>
        <r>
          <rPr>
            <b/>
            <sz val="9"/>
            <color indexed="81"/>
            <rFont val="Tahoma"/>
            <family val="2"/>
          </rPr>
          <t>Preencher apenas para cultura permanente.</t>
        </r>
        <r>
          <rPr>
            <sz val="9"/>
            <color indexed="81"/>
            <rFont val="Tahoma"/>
            <family val="2"/>
          </rPr>
          <t xml:space="preserve">
</t>
        </r>
      </text>
    </comment>
    <comment ref="C9" authorId="1" shapeId="0" xr:uid="{00000000-0006-0000-0500-000004000000}">
      <text>
        <r>
          <rPr>
            <b/>
            <sz val="9"/>
            <color indexed="81"/>
            <rFont val="Tahoma"/>
            <family val="2"/>
          </rPr>
          <t>Preencher apenas para cultura permanente.</t>
        </r>
        <r>
          <rPr>
            <sz val="9"/>
            <color indexed="81"/>
            <rFont val="Tahoma"/>
            <family val="2"/>
          </rPr>
          <t xml:space="preserve">
</t>
        </r>
      </text>
    </comment>
    <comment ref="G9" authorId="1" shapeId="0" xr:uid="{00000000-0006-0000-0500-000005000000}">
      <text>
        <r>
          <rPr>
            <b/>
            <sz val="9"/>
            <color indexed="81"/>
            <rFont val="Tahoma"/>
            <family val="2"/>
          </rPr>
          <t>Preencher apenas para cultura permanente</t>
        </r>
        <r>
          <rPr>
            <sz val="9"/>
            <color indexed="81"/>
            <rFont val="Tahoma"/>
            <family val="2"/>
          </rPr>
          <t xml:space="preserve">
</t>
        </r>
      </text>
    </comment>
    <comment ref="P9" authorId="1" shapeId="0" xr:uid="{00000000-0006-0000-0500-000006000000}">
      <text>
        <r>
          <rPr>
            <b/>
            <sz val="9"/>
            <color indexed="81"/>
            <rFont val="Tahoma"/>
            <family val="2"/>
          </rPr>
          <t>Condutividade elétrica (ds/m) determinada através das análise à água de rega.
Preenchimento obrigatório apenas para os beneficiários de PRODI</t>
        </r>
      </text>
    </comment>
    <comment ref="K12" authorId="1" shapeId="0" xr:uid="{00000000-0006-0000-0500-000007000000}">
      <text>
        <r>
          <rPr>
            <b/>
            <sz val="9"/>
            <color indexed="81"/>
            <rFont val="Tahoma"/>
            <family val="2"/>
          </rPr>
          <t>Preenchimento obrigatório apenas para os beneficiários de PRODI quando não existe acumulação com a intervenção «Uso Eficiente da Água» e utilizam sistemas de rega sob pressão.</t>
        </r>
        <r>
          <rPr>
            <sz val="9"/>
            <color indexed="81"/>
            <rFont val="Tahoma"/>
            <family val="2"/>
          </rPr>
          <t xml:space="preserve">
</t>
        </r>
      </text>
    </comment>
    <comment ref="O12" authorId="1" shapeId="0" xr:uid="{00000000-0006-0000-0500-000008000000}">
      <text>
        <r>
          <rPr>
            <b/>
            <sz val="9"/>
            <color indexed="81"/>
            <rFont val="Tahoma"/>
            <family val="2"/>
          </rPr>
          <t>Preenchimento obrigatório apenas para os beneficiários de PRODI quando não existe acumulação com a intervenção «Uso Eficiente da Água» e utilizam sistemas de rega sob pressão.</t>
        </r>
        <r>
          <rPr>
            <sz val="9"/>
            <color indexed="81"/>
            <rFont val="Tahoma"/>
            <family val="2"/>
          </rPr>
          <t xml:space="preserve">
</t>
        </r>
      </text>
    </comment>
    <comment ref="M14" authorId="0" shapeId="0" xr:uid="{00000000-0006-0000-0500-000009000000}">
      <text>
        <r>
          <rPr>
            <sz val="9"/>
            <color indexed="81"/>
            <rFont val="Tahoma"/>
            <family val="2"/>
          </rPr>
          <t>Entende-se por Prática cultural todo o tipo de intervenção efetuado ao nível da parcela agrícola ou cultura, como por exemplo a utilização de cultivares resistentes e ou material de propagação vegetativa categoria normalizada ou certificada, controlo de infestantes, como a monda manual, mobilização do solo, limpeza e preparação do terreno. Incluir também a rotação de culturas, podas sanitárias, destruição e queima da lenha, desinfeção de utensílios, entre outros.
Preenchimento obrigatório apenas para os beneficiários de PRODI.</t>
        </r>
      </text>
    </comment>
    <comment ref="P14" authorId="0" shapeId="0" xr:uid="{00000000-0006-0000-0500-00000A000000}">
      <text>
        <r>
          <rPr>
            <sz val="9"/>
            <color indexed="81"/>
            <rFont val="Tahoma"/>
            <family val="2"/>
          </rPr>
          <t>No caso de rega diária com dotações constantes, indicar as datas do início, fim, e as alterações intermédias dos débitos. Sempre que possível incluir a justificação das dotações de rega.</t>
        </r>
      </text>
    </comment>
    <comment ref="A16" authorId="2" shapeId="0" xr:uid="{00000000-0006-0000-0500-00000B000000}">
      <text>
        <r>
          <rPr>
            <b/>
            <sz val="9"/>
            <color indexed="81"/>
            <rFont val="Tahoma"/>
            <family val="2"/>
          </rPr>
          <t>As regas poderão estar agrupadas por períodos mensais; quinzenais; semanais, ou outros. As restantes operações devem ser registadas por dia.</t>
        </r>
      </text>
    </comment>
    <comment ref="B16" authorId="1" shapeId="0" xr:uid="{00000000-0006-0000-0500-00000C000000}">
      <text>
        <r>
          <rPr>
            <b/>
            <sz val="9"/>
            <color indexed="81"/>
            <rFont val="Tahoma"/>
            <family val="2"/>
          </rPr>
          <t>O beneficiário deverá preencher com um dos seguintes valores por linha (data da aplicação):
Aplicação de corretivos
Fertilização fundo
Adubação verde
Aplicação de estrume
Aplicação de chorume
Fertilização cobertura
Fertirrigação
O beneficiário deverá preencher este campo com as operações de fertilização previstas no Plano de Fertilização (Anexo 1) quando realizadas.</t>
        </r>
        <r>
          <rPr>
            <sz val="9"/>
            <color indexed="81"/>
            <rFont val="Tahoma"/>
            <family val="2"/>
          </rPr>
          <t xml:space="preserve">
</t>
        </r>
      </text>
    </comment>
    <comment ref="C16" authorId="1" shapeId="0" xr:uid="{00000000-0006-0000-0500-00000D000000}">
      <text>
        <r>
          <rPr>
            <b/>
            <sz val="9"/>
            <color indexed="81"/>
            <rFont val="Tahoma"/>
            <family val="2"/>
          </rPr>
          <t>No caso de adução verde identificar as espécies incorporadas no solo.</t>
        </r>
      </text>
    </comment>
    <comment ref="D16" authorId="1" shapeId="0" xr:uid="{00000000-0006-0000-0500-00000E000000}">
      <text>
        <r>
          <rPr>
            <b/>
            <sz val="9"/>
            <color indexed="81"/>
            <rFont val="Tahoma"/>
            <family val="2"/>
          </rPr>
          <t>Não preencher no caso da fertirrega.</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Cardoso, Miguel</author>
  </authors>
  <commentList>
    <comment ref="A2" authorId="0" shapeId="0" xr:uid="{00000000-0006-0000-0600-000001000000}">
      <text>
        <r>
          <rPr>
            <b/>
            <sz val="9"/>
            <color indexed="81"/>
            <rFont val="Tahoma"/>
            <family val="2"/>
          </rPr>
          <t>Registo obrigatório para a intervenção Uso Eficiente da Água quando não acumula com AB ou PRODI, mas acumulável com as intervenções da conservação do solo (sementeira direta e enrelvamento) e Apoios Zonais Agroambientais.
Pretende-se que o beneficiário registo a aplicação de fertilizantes, com base nos resultados dos boletins de análise e nas produções obtidas.</t>
        </r>
      </text>
    </comment>
    <comment ref="D4" authorId="1" shapeId="0" xr:uid="{00000000-0006-0000-06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F4" authorId="1" shapeId="0" xr:uid="{00000000-0006-0000-0600-000003000000}">
      <text>
        <r>
          <rPr>
            <b/>
            <sz val="9"/>
            <color indexed="81"/>
            <rFont val="Tahoma"/>
            <family val="2"/>
          </rPr>
          <t>Preencher com o n.º de subparcela constante no iE para a corresponde parcela com o n.º sequencial registado no campo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K4" authorId="1" shapeId="0" xr:uid="{00000000-0006-0000-0600-000004000000}">
      <text>
        <r>
          <rPr>
            <b/>
            <sz val="9"/>
            <color indexed="81"/>
            <rFont val="Tahoma"/>
            <family val="2"/>
          </rPr>
          <t>Preencher apenas quando aplicável</t>
        </r>
        <r>
          <rPr>
            <sz val="9"/>
            <color indexed="81"/>
            <rFont val="Tahoma"/>
            <family val="2"/>
          </rPr>
          <t xml:space="preserve">
</t>
        </r>
      </text>
    </comment>
    <comment ref="A8" authorId="1" shapeId="0" xr:uid="{00000000-0006-0000-0600-000005000000}">
      <text>
        <r>
          <rPr>
            <b/>
            <sz val="9"/>
            <color indexed="81"/>
            <rFont val="Tahoma"/>
            <family val="2"/>
          </rPr>
          <t>Preencher apenas para cultura permanente.</t>
        </r>
        <r>
          <rPr>
            <sz val="9"/>
            <color indexed="81"/>
            <rFont val="Tahoma"/>
            <family val="2"/>
          </rPr>
          <t xml:space="preserve">
</t>
        </r>
      </text>
    </comment>
    <comment ref="C8" authorId="1" shapeId="0" xr:uid="{00000000-0006-0000-0600-000006000000}">
      <text>
        <r>
          <rPr>
            <b/>
            <sz val="9"/>
            <color indexed="81"/>
            <rFont val="Tahoma"/>
            <family val="2"/>
          </rPr>
          <t>Preencher apenas para cultura permanente.</t>
        </r>
        <r>
          <rPr>
            <sz val="9"/>
            <color indexed="81"/>
            <rFont val="Tahoma"/>
            <family val="2"/>
          </rPr>
          <t xml:space="preserve">
</t>
        </r>
      </text>
    </comment>
    <comment ref="G8" authorId="1" shapeId="0" xr:uid="{00000000-0006-0000-0600-000007000000}">
      <text>
        <r>
          <rPr>
            <b/>
            <sz val="9"/>
            <color indexed="81"/>
            <rFont val="Tahoma"/>
            <family val="2"/>
          </rPr>
          <t>Preencher apenas para cultura permanente</t>
        </r>
        <r>
          <rPr>
            <sz val="9"/>
            <color indexed="81"/>
            <rFont val="Tahoma"/>
            <family val="2"/>
          </rPr>
          <t xml:space="preserve">
</t>
        </r>
      </text>
    </comment>
    <comment ref="A13" authorId="2" shapeId="0" xr:uid="{00000000-0006-0000-0600-000008000000}">
      <text>
        <r>
          <rPr>
            <b/>
            <sz val="9"/>
            <color indexed="81"/>
            <rFont val="Tahoma"/>
            <family val="2"/>
          </rPr>
          <t>O registo das operações deverá seguir a ordem cronológica da sua ocorrência.No caso das fertirregas, o seu registo poderá estar agrupado por períodos mensais; quinzenais; semanais, ou outros.
Formato para registo diário deverá ser: dd-mm-aaaa</t>
        </r>
      </text>
    </comment>
    <comment ref="B13" authorId="1" shapeId="0" xr:uid="{00000000-0006-0000-0600-000009000000}">
      <text>
        <r>
          <rPr>
            <b/>
            <sz val="9"/>
            <color indexed="81"/>
            <rFont val="Tahoma"/>
            <family val="2"/>
          </rPr>
          <t>O beneficiário deverá preencher com um dos seguintes valores por linha (data da aplicação):
Aplicação de corretivos
Fertilização fundo
Adubação verde
Aplicação de estrume
Aplicação de chorume
Fertilização cobertura
Fertirrigação
No caso de compromisso ativo na intervenção «Uso Eficiente da Água», o beneficiário deverá preencher  com as operações de fertilização previstas no Plano de Fertilização (Anexo 1) quando realizadas.</t>
        </r>
      </text>
    </comment>
    <comment ref="C13" authorId="1" shapeId="0" xr:uid="{00000000-0006-0000-0600-00000A000000}">
      <text>
        <r>
          <rPr>
            <b/>
            <sz val="9"/>
            <color indexed="81"/>
            <rFont val="Tahoma"/>
            <family val="2"/>
          </rPr>
          <t>No caso de adução verde identificar as espécies integradas no solo.</t>
        </r>
        <r>
          <rPr>
            <sz val="9"/>
            <color indexed="81"/>
            <rFont val="Tahoma"/>
            <family val="2"/>
          </rPr>
          <t xml:space="preserve">
</t>
        </r>
      </text>
    </comment>
    <comment ref="M14" authorId="1" shapeId="0" xr:uid="{00000000-0006-0000-0600-00000B000000}">
      <text>
        <r>
          <rPr>
            <sz val="9"/>
            <color indexed="81"/>
            <rFont val="Tahoma"/>
            <family val="2"/>
          </rPr>
          <t xml:space="preserve">Identificar o nutriente aplicado, quando este não esteja representado no registo
</t>
        </r>
      </text>
    </comment>
    <comment ref="A34" authorId="1" shapeId="0" xr:uid="{00000000-0006-0000-0600-00000C000000}">
      <text>
        <r>
          <rPr>
            <b/>
            <sz val="9"/>
            <color indexed="81"/>
            <rFont val="Tahoma"/>
            <family val="2"/>
          </rPr>
          <t>Preenchimento obrigatório para os beneficiário com compromissos ativos na intervenção «Uso Eficiente da água»</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Cardoso, Miguel</author>
  </authors>
  <commentList>
    <comment ref="A2" authorId="0" shapeId="0" xr:uid="{00000000-0006-0000-0700-000001000000}">
      <text>
        <r>
          <rPr>
            <b/>
            <sz val="9"/>
            <color indexed="81"/>
            <rFont val="Tahoma"/>
            <family val="2"/>
          </rPr>
          <t>Registo obrigatório para as seguintes intervenções: Conservação do Solo - Sementeira Direta, Conservação do Solo - Enrelvamento, Apoio Zonal Peneda-Gerês - manutenção de socalcos, Apoio Zonal Montesinho-Nogueira - manutenção de rotação de sequeiro cereal-pousio, Apoio Zonal Douro Internacional, Sabor, Maçãs e Vale do Côa - manutenção de rotação de sequeiro cereal-pousio, Apoio Zonal Castro Verde, Vale do Guadiana, Piçarras e Cuba - manutenção de rotação de sequeiro cereal-pousio-pastagens temporárias naturais e Apoio Zonal Alto e Centro Alentejo - manutenção de rotação de sequeiro cereal-pousio-pastagens temporárias naturais, quando não há acumulação com AB, PRODI e Uso Eficiente da Água, mesmo quando é permitida a acumulação com Agricultura Biológica.
Pretende-se que o beneficiário registe qualquer intervenção na cultura e no solo, nomeadamente as datas e técnicas a aplicar nos cortes, na mobilização de pousios e a aplicação de fertilizantes, com base nos resultados dos boletins de análise e nas produções obtidas.</t>
        </r>
      </text>
    </comment>
    <comment ref="D4" authorId="1" shapeId="0" xr:uid="{00000000-0006-0000-07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F4" authorId="1" shapeId="0" xr:uid="{00000000-0006-0000-0700-000003000000}">
      <text>
        <r>
          <rPr>
            <b/>
            <sz val="9"/>
            <color indexed="81"/>
            <rFont val="Tahoma"/>
            <family val="2"/>
          </rPr>
          <t>Preencher com o n.º de subparcela constante no iE para a corresponde parcela com o n.º sequencial registado no campo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C13" authorId="1" shapeId="0" xr:uid="{00000000-0006-0000-0700-000004000000}">
      <text>
        <r>
          <rPr>
            <b/>
            <sz val="9"/>
            <color indexed="81"/>
            <rFont val="Tahoma"/>
            <family val="2"/>
          </rPr>
          <t>Azoto do solo</t>
        </r>
        <r>
          <rPr>
            <sz val="9"/>
            <color indexed="81"/>
            <rFont val="Tahoma"/>
            <family val="2"/>
          </rPr>
          <t xml:space="preserve">
</t>
        </r>
      </text>
    </comment>
    <comment ref="D13" authorId="1" shapeId="0" xr:uid="{00000000-0006-0000-0700-000005000000}">
      <text>
        <r>
          <rPr>
            <b/>
            <sz val="9"/>
            <color indexed="81"/>
            <rFont val="Tahoma"/>
            <family val="2"/>
          </rPr>
          <t>Fósforo do solo</t>
        </r>
        <r>
          <rPr>
            <sz val="9"/>
            <color indexed="81"/>
            <rFont val="Tahoma"/>
            <family val="2"/>
          </rPr>
          <t xml:space="preserve">
</t>
        </r>
      </text>
    </comment>
    <comment ref="E13" authorId="1" shapeId="0" xr:uid="{00000000-0006-0000-0700-000006000000}">
      <text>
        <r>
          <rPr>
            <b/>
            <sz val="9"/>
            <color indexed="81"/>
            <rFont val="Tahoma"/>
            <family val="2"/>
          </rPr>
          <t>Potássio do solo</t>
        </r>
        <r>
          <rPr>
            <sz val="9"/>
            <color indexed="81"/>
            <rFont val="Tahoma"/>
            <family val="2"/>
          </rPr>
          <t xml:space="preserve">
</t>
        </r>
      </text>
    </comment>
    <comment ref="F13" authorId="1" shapeId="0" xr:uid="{00000000-0006-0000-0700-000007000000}">
      <text>
        <r>
          <rPr>
            <b/>
            <sz val="9"/>
            <color indexed="81"/>
            <rFont val="Tahoma"/>
            <family val="2"/>
          </rPr>
          <t>Magnésio do solo</t>
        </r>
      </text>
    </comment>
    <comment ref="G13" authorId="1" shapeId="0" xr:uid="{00000000-0006-0000-0700-000008000000}">
      <text>
        <r>
          <rPr>
            <b/>
            <sz val="9"/>
            <color indexed="81"/>
            <rFont val="Tahoma"/>
            <family val="2"/>
          </rPr>
          <t>Preencher apenas quando o boletim de análises apresenta dados sobre outros elementos, que vão ser considerados na elaboração do plano de fertilização.</t>
        </r>
        <r>
          <rPr>
            <sz val="9"/>
            <color indexed="81"/>
            <rFont val="Tahoma"/>
            <family val="2"/>
          </rPr>
          <t xml:space="preserve">
</t>
        </r>
      </text>
    </comment>
    <comment ref="H13" authorId="1" shapeId="0" xr:uid="{00000000-0006-0000-0700-000009000000}">
      <text>
        <r>
          <rPr>
            <b/>
            <sz val="9"/>
            <color indexed="81"/>
            <rFont val="Tahoma"/>
            <family val="2"/>
          </rPr>
          <t>Preencher apenas quando o boletim de análises apresenta dados sobre outros elementos, que vão ser considerados na elaboração do plano de fertilização.</t>
        </r>
        <r>
          <rPr>
            <sz val="9"/>
            <color indexed="81"/>
            <rFont val="Tahoma"/>
            <family val="2"/>
          </rPr>
          <t xml:space="preserve">
</t>
        </r>
      </text>
    </comment>
    <comment ref="I13" authorId="1" shapeId="0" xr:uid="{00000000-0006-0000-0700-00000A000000}">
      <text>
        <r>
          <rPr>
            <b/>
            <sz val="9"/>
            <color indexed="81"/>
            <rFont val="Tahoma"/>
            <family val="2"/>
          </rPr>
          <t>pH do solo</t>
        </r>
        <r>
          <rPr>
            <sz val="9"/>
            <color indexed="81"/>
            <rFont val="Tahoma"/>
            <family val="2"/>
          </rPr>
          <t xml:space="preserve">
</t>
        </r>
      </text>
    </comment>
    <comment ref="J13" authorId="1" shapeId="0" xr:uid="{00000000-0006-0000-0700-00000B000000}">
      <text>
        <r>
          <rPr>
            <b/>
            <sz val="9"/>
            <color indexed="81"/>
            <rFont val="Tahoma"/>
            <family val="2"/>
          </rPr>
          <t>% de matéria orgânica do solo</t>
        </r>
        <r>
          <rPr>
            <sz val="9"/>
            <color indexed="81"/>
            <rFont val="Tahoma"/>
            <family val="2"/>
          </rPr>
          <t xml:space="preserve">
</t>
        </r>
      </text>
    </comment>
    <comment ref="B16" authorId="1" shapeId="0" xr:uid="{00000000-0006-0000-0700-00000C000000}">
      <text>
        <r>
          <rPr>
            <b/>
            <sz val="9"/>
            <color indexed="81"/>
            <rFont val="Tahoma"/>
            <family val="2"/>
          </rPr>
          <t>Registar a classe de fertilidade constante no boletim de análise para cada um dos nutrientes, caso faça parte do referido boletim.</t>
        </r>
        <r>
          <rPr>
            <sz val="9"/>
            <color indexed="81"/>
            <rFont val="Tahoma"/>
            <family val="2"/>
          </rPr>
          <t xml:space="preserve">
</t>
        </r>
      </text>
    </comment>
    <comment ref="C16" authorId="1" shapeId="0" xr:uid="{00000000-0006-0000-0700-00000D000000}">
      <text>
        <r>
          <rPr>
            <b/>
            <sz val="9"/>
            <color indexed="81"/>
            <rFont val="Tahoma"/>
            <family val="2"/>
          </rPr>
          <t>Preencher campo com uma das seguintes classes:
MA - Muito Alto;
A - Alto;
M - Médio;
B - Baixo;
MB - Muito Baixo.</t>
        </r>
      </text>
    </comment>
    <comment ref="D16" authorId="1" shapeId="0" xr:uid="{00000000-0006-0000-0700-00000E000000}">
      <text>
        <r>
          <rPr>
            <b/>
            <sz val="9"/>
            <color indexed="81"/>
            <rFont val="Tahoma"/>
            <family val="2"/>
          </rPr>
          <t>Preencher campo com uma das seguintes classes:
MA - Muito Alto;
A - Alto;
M - Médio;
B - Baixo;
MB - Muito Baixo.</t>
        </r>
      </text>
    </comment>
    <comment ref="E16" authorId="1" shapeId="0" xr:uid="{00000000-0006-0000-0700-00000F000000}">
      <text>
        <r>
          <rPr>
            <b/>
            <sz val="9"/>
            <color indexed="81"/>
            <rFont val="Tahoma"/>
            <family val="2"/>
          </rPr>
          <t>Preencher campo com uma das seguintes classes:
MA - Muito Alto;
A - Alto;
M - Médio;
B - Baixo;
MB - Muito Baixo.</t>
        </r>
      </text>
    </comment>
    <comment ref="F16" authorId="1" shapeId="0" xr:uid="{00000000-0006-0000-0700-000010000000}">
      <text>
        <r>
          <rPr>
            <b/>
            <sz val="9"/>
            <color indexed="81"/>
            <rFont val="Tahoma"/>
            <family val="2"/>
          </rPr>
          <t>Preencher campo com uma das seguintes classes:
MA - Muito Alto;
A - Alto;
M - Médio;
B - Baixo;
MB - Muito Baixo.</t>
        </r>
      </text>
    </comment>
    <comment ref="G16" authorId="1" shapeId="0" xr:uid="{00000000-0006-0000-0700-000011000000}">
      <text>
        <r>
          <rPr>
            <b/>
            <sz val="9"/>
            <color indexed="81"/>
            <rFont val="Tahoma"/>
            <family val="2"/>
          </rPr>
          <t>Preencher campo com uma das seguintes classes, caso se aplique:
MA - Muito Alto;
A - Alto;
M - Médio;
B - Baixo;
MB - Muito Baixo.</t>
        </r>
      </text>
    </comment>
    <comment ref="H16" authorId="1" shapeId="0" xr:uid="{00000000-0006-0000-0700-000012000000}">
      <text>
        <r>
          <rPr>
            <b/>
            <sz val="9"/>
            <color indexed="81"/>
            <rFont val="Tahoma"/>
            <family val="2"/>
          </rPr>
          <t>Preencher campo com uma das seguintes classes, caso se aplique:
MA - Muito Alto;
A - Alto;
M - Médio;
B - Baixo;
MB - Muito Baixo.</t>
        </r>
      </text>
    </comment>
    <comment ref="J16" authorId="1" shapeId="0" xr:uid="{00000000-0006-0000-0700-000013000000}">
      <text>
        <r>
          <rPr>
            <b/>
            <sz val="9"/>
            <color indexed="81"/>
            <rFont val="Tahoma"/>
            <family val="2"/>
          </rPr>
          <t>Preencher campo com uma das seguintes classes:
MA - Muito Alto;
A - Alto;
M - Médio;
B - Baixo;
MB - Muito Baixo.</t>
        </r>
      </text>
    </comment>
    <comment ref="A17" authorId="1" shapeId="0" xr:uid="{00000000-0006-0000-0700-000014000000}">
      <text>
        <r>
          <rPr>
            <b/>
            <sz val="9"/>
            <color indexed="81"/>
            <rFont val="Tahoma"/>
            <family val="2"/>
          </rPr>
          <t>Preenchimento referente ao elemento N (azoto).</t>
        </r>
      </text>
    </comment>
    <comment ref="C17" authorId="1" shapeId="0" xr:uid="{00000000-0006-0000-0700-000015000000}">
      <text>
        <r>
          <rPr>
            <b/>
            <sz val="9"/>
            <color indexed="81"/>
            <rFont val="Tahoma"/>
            <family val="2"/>
          </rPr>
          <t xml:space="preserve">Parcela usada no cálculo automático do campo «previsão total de nutrientes a disponibilizar à cultura» do quadro 3 - Plano de aplicação, para o azoto (N).
Inserir o resultado da aplicação dos valores de azoto previstos no Anexo VI da Portaria n.º 295/2012 ou no Quadro 1 da GPP/OT/2023/3_Instrucoes Caderno Campo em função dos resultados das análises de terras. </t>
        </r>
      </text>
    </comment>
    <comment ref="F19" authorId="1" shapeId="0" xr:uid="{00000000-0006-0000-0700-000016000000}">
      <text>
        <r>
          <rPr>
            <b/>
            <sz val="9"/>
            <color indexed="81"/>
            <rFont val="Tahoma"/>
            <family val="2"/>
          </rPr>
          <t>Preencher com "X" caso seja esta a forma de azoto avaliada.</t>
        </r>
        <r>
          <rPr>
            <sz val="9"/>
            <color indexed="81"/>
            <rFont val="Tahoma"/>
            <family val="2"/>
          </rPr>
          <t xml:space="preserve">
</t>
        </r>
      </text>
    </comment>
    <comment ref="H19" authorId="1" shapeId="0" xr:uid="{00000000-0006-0000-0700-000017000000}">
      <text>
        <r>
          <rPr>
            <b/>
            <sz val="9"/>
            <color indexed="81"/>
            <rFont val="Tahoma"/>
            <family val="2"/>
          </rPr>
          <t>Preencher com "X" caso seja esta a forma de azoto avaliada.</t>
        </r>
        <r>
          <rPr>
            <sz val="9"/>
            <color indexed="81"/>
            <rFont val="Tahoma"/>
            <family val="2"/>
          </rPr>
          <t xml:space="preserve">
</t>
        </r>
      </text>
    </comment>
    <comment ref="J19" authorId="1" shapeId="0" xr:uid="{00000000-0006-0000-0700-000018000000}">
      <text>
        <r>
          <rPr>
            <b/>
            <sz val="9"/>
            <color indexed="81"/>
            <rFont val="Tahoma"/>
            <family val="2"/>
          </rPr>
          <t>Preencher com "X" caso seja esta a forma de azoto avaliada.</t>
        </r>
        <r>
          <rPr>
            <sz val="9"/>
            <color indexed="81"/>
            <rFont val="Tahoma"/>
            <family val="2"/>
          </rPr>
          <t xml:space="preserve">
</t>
        </r>
      </text>
    </comment>
    <comment ref="A22" authorId="2" shapeId="0" xr:uid="{00000000-0006-0000-0700-000019000000}">
      <text>
        <r>
          <rPr>
            <b/>
            <sz val="9"/>
            <color indexed="81"/>
            <rFont val="Tahoma"/>
            <family val="2"/>
          </rPr>
          <t>Formato para registo diário deverá ser: dd-mm-aaaa</t>
        </r>
      </text>
    </comment>
    <comment ref="B22" authorId="1" shapeId="0" xr:uid="{00000000-0006-0000-0700-00001A000000}">
      <text>
        <r>
          <rPr>
            <b/>
            <sz val="9"/>
            <color indexed="81"/>
            <rFont val="Tahoma"/>
            <family val="2"/>
          </rPr>
          <t>Registar qualquer intervenção na cultura, incluindo no solo, exceto a fertilização.
Preenchimento opcional para as intervenções Conservação do Solo - Sementeira Direta, Conservação do Solo - Enrelvamento» e «Apoio Zonal Peneda-Gerês - manutenção de socalcos».</t>
        </r>
        <r>
          <rPr>
            <sz val="9"/>
            <color indexed="81"/>
            <rFont val="Tahoma"/>
            <family val="2"/>
          </rPr>
          <t xml:space="preserve">
</t>
        </r>
      </text>
    </comment>
    <comment ref="C22" authorId="1" shapeId="0" xr:uid="{00000000-0006-0000-0700-00001B000000}">
      <text>
        <r>
          <rPr>
            <b/>
            <sz val="9"/>
            <color indexed="81"/>
            <rFont val="Tahoma"/>
            <family val="2"/>
          </rPr>
          <t>O beneficiário deverá preencher com um dos seguintes valores por linha (data da aplicação):
Aplicação de corretivos
Fertilização fundo
Adubação verde
Aplicação de estrume
Aplicação de chorume
Fertilização cobertura
Preenchimento obrigatório para todas as tipologias da intervenção «Planos Zonais Agroambientais».</t>
        </r>
      </text>
    </comment>
    <comment ref="M23" authorId="1" shapeId="0" xr:uid="{00000000-0006-0000-0700-00001C000000}">
      <text>
        <r>
          <rPr>
            <sz val="9"/>
            <color indexed="81"/>
            <rFont val="Tahoma"/>
            <family val="2"/>
          </rPr>
          <t xml:space="preserve">Identificar o nutriente aplicado, quando este não esteja representado no registo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Cardoso, Miguel</author>
  </authors>
  <commentList>
    <comment ref="A1" authorId="0" shapeId="0" xr:uid="{00000000-0006-0000-0800-000001000000}">
      <text>
        <r>
          <rPr>
            <sz val="9"/>
            <color indexed="81"/>
            <rFont val="Tahoma"/>
            <family val="2"/>
          </rPr>
          <t>Registo obrigatório para as seguintes intervenções: Maneio da Pastagem Permanente e Conservação do solo-Pastagens Biodiversas.
Pretende-se que o beneficiário registe qualquer intervenção nas pastagens permanentes, nomeadamente as datas da instalação (quando a pastagem permanente é instalada no a que respeita o registo), ressementeiras, controlo da vegetação arbustiva, rotação do pastoreio e a aplicação de fertilizantes, com base nos resultados dos boletins de análise e nas produções obtidas.</t>
        </r>
      </text>
    </comment>
    <comment ref="A5" authorId="1" shapeId="0" xr:uid="{00000000-0006-0000-0800-000002000000}">
      <text>
        <r>
          <rPr>
            <b/>
            <sz val="9"/>
            <color indexed="81"/>
            <rFont val="Tahoma"/>
            <family val="2"/>
          </rPr>
          <t>O registo das atividades deverá ser efetuado de acordo com a zona homogénea indicada no separador «caracterização das áreas sob compromisso».</t>
        </r>
        <r>
          <rPr>
            <sz val="9"/>
            <color indexed="81"/>
            <rFont val="Tahoma"/>
            <family val="2"/>
          </rPr>
          <t xml:space="preserve">
</t>
        </r>
      </text>
    </comment>
    <comment ref="B5" authorId="1" shapeId="0" xr:uid="{00000000-0006-0000-0800-000003000000}">
      <text>
        <r>
          <rPr>
            <b/>
            <sz val="9"/>
            <color indexed="81"/>
            <rFont val="Tahoma"/>
            <family val="2"/>
          </rPr>
          <t>Área da zona homogénea corresponde ao somatório das subparcelas que a compõem</t>
        </r>
        <r>
          <rPr>
            <sz val="9"/>
            <color indexed="81"/>
            <rFont val="Tahoma"/>
            <family val="2"/>
          </rPr>
          <t xml:space="preserve">
</t>
        </r>
      </text>
    </comment>
    <comment ref="C5" authorId="2" shapeId="0" xr:uid="{00000000-0006-0000-0800-000004000000}">
      <text>
        <r>
          <rPr>
            <b/>
            <sz val="9"/>
            <color indexed="81"/>
            <rFont val="Tahoma"/>
            <family val="2"/>
          </rPr>
          <t>Formato para registo diário deverá ser: dd-mm-aaaa</t>
        </r>
      </text>
    </comment>
    <comment ref="D5" authorId="1" shapeId="0" xr:uid="{00000000-0006-0000-0800-000005000000}">
      <text>
        <r>
          <rPr>
            <b/>
            <sz val="9"/>
            <color indexed="81"/>
            <rFont val="Tahoma"/>
            <family val="2"/>
          </rPr>
          <t>Identificar as diferentes espécies ou géneros de plantas presentes na zona homogénea, incluindo das leguminosas, quando presentes.
Registo das espécies/géneros deve ser feito utilizando ";" a separar as diferentes espécies presentes na pastagem. (exemplo: azevém; tremocilha; ...)</t>
        </r>
        <r>
          <rPr>
            <sz val="9"/>
            <color indexed="81"/>
            <rFont val="Tahoma"/>
            <family val="2"/>
          </rPr>
          <t xml:space="preserve">
</t>
        </r>
      </text>
    </comment>
    <comment ref="E5" authorId="1" shapeId="0" xr:uid="{00000000-0006-0000-0800-000006000000}">
      <text>
        <r>
          <rPr>
            <b/>
            <sz val="9"/>
            <color indexed="81"/>
            <rFont val="Tahoma"/>
            <family val="2"/>
          </rPr>
          <t>Registar a operação efetuada em determinada data:
Sementeira
Ressementeira
Controlo vegetação arbustiva
Início da interdição de pastoreio (compromisso opcional)
Fim da interdição de pastoreio (compromisso opcional).</t>
        </r>
      </text>
    </comment>
    <comment ref="F5" authorId="1" shapeId="0" xr:uid="{00000000-0006-0000-0800-000007000000}">
      <text>
        <r>
          <rPr>
            <b/>
            <sz val="9"/>
            <color indexed="81"/>
            <rFont val="Tahoma"/>
            <family val="2"/>
          </rPr>
          <t>O beneficiário deverá preencher com um dos seguintes valores por linha (data da aplicação):
Aplicação de corretivos
Fertilização fundo
Aplicação de estrume
Aplicação de chorume
Fertilização cobertura
Fertirrega</t>
        </r>
      </text>
    </comment>
    <comment ref="J6" authorId="1" shapeId="0" xr:uid="{00000000-0006-0000-0800-000008000000}">
      <text>
        <r>
          <rPr>
            <b/>
            <sz val="9"/>
            <color indexed="81"/>
            <rFont val="Tahoma"/>
            <family val="2"/>
          </rPr>
          <t>Ter em atenção que na intervenção «conservação do solo-pastagens biodiversas» não é permitida a aplicação de azoto após a instalação da pastagem.</t>
        </r>
        <r>
          <rPr>
            <sz val="9"/>
            <color indexed="81"/>
            <rFont val="Tahoma"/>
            <family val="2"/>
          </rPr>
          <t xml:space="preserve">
</t>
        </r>
      </text>
    </comment>
    <comment ref="Q6" authorId="1" shapeId="0" xr:uid="{00000000-0006-0000-0800-000009000000}">
      <text>
        <r>
          <rPr>
            <sz val="9"/>
            <color indexed="81"/>
            <rFont val="Tahoma"/>
            <family val="2"/>
          </rPr>
          <t xml:space="preserve">Identificar o nutriente aplicado, quando este não esteja representado no registo
</t>
        </r>
      </text>
    </comment>
    <comment ref="A25" authorId="1" shapeId="0" xr:uid="{00000000-0006-0000-0800-00000A000000}">
      <text>
        <r>
          <rPr>
            <b/>
            <sz val="9"/>
            <color indexed="81"/>
            <rFont val="Tahoma"/>
            <family val="2"/>
          </rPr>
          <t>O registo das atividades deverá ser efetuado de acordo com a zona homogénea indicada no separador «caracterização das parcelas»</t>
        </r>
        <r>
          <rPr>
            <sz val="9"/>
            <color indexed="81"/>
            <rFont val="Tahoma"/>
            <family val="2"/>
          </rPr>
          <t xml:space="preserve">
</t>
        </r>
      </text>
    </comment>
    <comment ref="B25" authorId="1" shapeId="0" xr:uid="{00000000-0006-0000-0800-00000B000000}">
      <text>
        <r>
          <rPr>
            <b/>
            <sz val="9"/>
            <color indexed="81"/>
            <rFont val="Tahoma"/>
            <family val="2"/>
          </rPr>
          <t>No caso do recurso ao parquemanto da área de pastagem para controlar a rotação dos animais, deverá ser identificado o número de parque instalados por zona homogénea ou subparcela.
São aceites os seguintes valores P1, P2, P3, P4, etc.
No caso de não existirem parque preencher com P1.</t>
        </r>
        <r>
          <rPr>
            <sz val="9"/>
            <color indexed="81"/>
            <rFont val="Tahoma"/>
            <family val="2"/>
          </rPr>
          <t xml:space="preserve">
</t>
        </r>
      </text>
    </comment>
    <comment ref="C25" authorId="1" shapeId="0" xr:uid="{00000000-0006-0000-0800-00000C000000}">
      <text>
        <r>
          <rPr>
            <b/>
            <sz val="9"/>
            <color indexed="81"/>
            <rFont val="Tahoma"/>
            <family val="2"/>
          </rPr>
          <t>Área do parque, no caso de a zona homogéne/subparcela ter sido parqueada para facilitar a rotação do efetivo animal. No caso de não existir parqueamento da área de pastagem, registar a área da Zona homogénea/subparcela. A área da Zona homogénea corresponde ao somatório das subparcelas que a compõem</t>
        </r>
        <r>
          <rPr>
            <sz val="9"/>
            <color indexed="81"/>
            <rFont val="Tahoma"/>
            <family val="2"/>
          </rPr>
          <t xml:space="preserve">
</t>
        </r>
      </text>
    </comment>
    <comment ref="D25" authorId="1" shapeId="0" xr:uid="{00000000-0006-0000-0800-00000D000000}">
      <text>
        <r>
          <rPr>
            <b/>
            <sz val="9"/>
            <color indexed="81"/>
            <rFont val="Tahoma"/>
            <family val="2"/>
          </rPr>
          <t>Registar por cada trimestre o n.º de cabeças normais (CN) que permaneceram/pastorearam a zona homogénea em causa.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H25" authorId="1" shapeId="0" xr:uid="{00000000-0006-0000-0800-00000E000000}">
      <text>
        <r>
          <rPr>
            <b/>
            <sz val="9"/>
            <color indexed="81"/>
            <rFont val="Tahoma"/>
            <family val="2"/>
          </rPr>
          <t>O registo por cada trimestre do n.º de CN/ha é efetuado automaticamente após preenchimento dos campo de «Animais em pastoreio (CN)).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s>
  <commentList>
    <comment ref="A3" authorId="0" shapeId="0" xr:uid="{00000000-0006-0000-0900-000001000000}">
      <text>
        <r>
          <rPr>
            <b/>
            <sz val="9"/>
            <color indexed="81"/>
            <rFont val="Tahoma"/>
            <family val="2"/>
          </rPr>
          <t>Registo obrigatório para o regime ecológico Promoção da Fertilização Orgânica..
Pretende-se que o beneficiário registe a aplicação de fertilizantes orgânicos e inorgânicos com base no plano de fertilização.
Registo pode ser utilizado para cumprimento dos seguintes requisitos:
     a) Programa de Ação das Zonas Vulneráveis (Portaria n.º 259/2012), é obrigatório o preenchimento:
          - dos campos que antecedem o quadro 1, com exceção dos campos "compasso", "porta-enxertos", "n.º de plantas" e "data de plantação";
          - do quadro 1 - quantidades de azoto aplicadas;
          - do quadro 2 - azoto fornecido pela água de rega.
     b) Condicionalidade, este separador responde aos requisitos 3.1, 3.3 e 3.4 do RLG2 da Portaria n.º 54-Q/2023). É obrigatório o preenchimento dos quadros 1 e 2, bem como o preenchimento do Anexo 1 de acordo com as instruções nele definidas.</t>
        </r>
      </text>
    </comment>
    <comment ref="D6" authorId="1" shapeId="0" xr:uid="{00000000-0006-0000-09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F6" authorId="1" shapeId="0" xr:uid="{00000000-0006-0000-0900-000003000000}">
      <text>
        <r>
          <rPr>
            <b/>
            <sz val="9"/>
            <color indexed="81"/>
            <rFont val="Tahoma"/>
            <family val="2"/>
          </rPr>
          <t>Preencher com o n.º de subparcela constante no iE para a corresponde parcela com o n.º sequencial registado no campo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K6" authorId="1" shapeId="0" xr:uid="{00000000-0006-0000-0900-000004000000}">
      <text>
        <r>
          <rPr>
            <b/>
            <sz val="9"/>
            <color indexed="81"/>
            <rFont val="Tahoma"/>
            <family val="2"/>
          </rPr>
          <t>Preencher apenas quando aplicável</t>
        </r>
        <r>
          <rPr>
            <sz val="9"/>
            <color indexed="81"/>
            <rFont val="Tahoma"/>
            <family val="2"/>
          </rPr>
          <t xml:space="preserve">
</t>
        </r>
      </text>
    </comment>
    <comment ref="A10" authorId="1" shapeId="0" xr:uid="{00000000-0006-0000-0900-000005000000}">
      <text>
        <r>
          <rPr>
            <b/>
            <sz val="9"/>
            <color indexed="81"/>
            <rFont val="Tahoma"/>
            <family val="2"/>
          </rPr>
          <t>Preencher apenas para cultura permanente.</t>
        </r>
        <r>
          <rPr>
            <sz val="9"/>
            <color indexed="81"/>
            <rFont val="Tahoma"/>
            <family val="2"/>
          </rPr>
          <t xml:space="preserve">
</t>
        </r>
      </text>
    </comment>
    <comment ref="C10" authorId="1" shapeId="0" xr:uid="{00000000-0006-0000-0900-000006000000}">
      <text>
        <r>
          <rPr>
            <b/>
            <sz val="9"/>
            <color indexed="81"/>
            <rFont val="Tahoma"/>
            <family val="2"/>
          </rPr>
          <t>Preencher apenas para cultura permanente.</t>
        </r>
        <r>
          <rPr>
            <sz val="9"/>
            <color indexed="81"/>
            <rFont val="Tahoma"/>
            <family val="2"/>
          </rPr>
          <t xml:space="preserve">
</t>
        </r>
      </text>
    </comment>
    <comment ref="G10" authorId="1" shapeId="0" xr:uid="{00000000-0006-0000-0900-000007000000}">
      <text>
        <r>
          <rPr>
            <b/>
            <sz val="9"/>
            <color indexed="81"/>
            <rFont val="Tahoma"/>
            <family val="2"/>
          </rPr>
          <t>Preencher apenas para cultura permanente</t>
        </r>
        <r>
          <rPr>
            <sz val="9"/>
            <color indexed="81"/>
            <rFont val="Tahoma"/>
            <family val="2"/>
          </rPr>
          <t xml:space="preserve">
</t>
        </r>
      </text>
    </comment>
    <comment ref="A15" authorId="1" shapeId="0" xr:uid="{00000000-0006-0000-0900-000008000000}">
      <text>
        <r>
          <rPr>
            <b/>
            <sz val="9"/>
            <color indexed="81"/>
            <rFont val="Tahoma"/>
            <family val="2"/>
          </rPr>
          <t>Quadro de preenchimento obrigatório para:
- Beneficiários candidatos ao regime ecológico «promoção da fertilização orgânica»;
- As explorações em Zona Vulnerável para cumprimento do disposto na alínea a) do n.º 9 do artigo 8.º da Portaria n.º 259/2012, caso o beneficiário opte pelo registo em CCU.</t>
        </r>
        <r>
          <rPr>
            <sz val="9"/>
            <color indexed="81"/>
            <rFont val="Tahoma"/>
            <family val="2"/>
          </rPr>
          <t xml:space="preserve">
</t>
        </r>
      </text>
    </comment>
    <comment ref="A17" authorId="1" shapeId="0" xr:uid="{00000000-0006-0000-0900-000009000000}">
      <text>
        <r>
          <rPr>
            <b/>
            <sz val="9"/>
            <color indexed="81"/>
            <rFont val="Tahoma"/>
            <family val="2"/>
          </rPr>
          <t>Valores possíveis:
- Água de rega;
- Fertilização de Fundo com Fertilizantes Orgânicos</t>
        </r>
        <r>
          <rPr>
            <sz val="9"/>
            <color indexed="81"/>
            <rFont val="Tahoma"/>
            <family val="2"/>
          </rPr>
          <t xml:space="preserve">;
</t>
        </r>
        <r>
          <rPr>
            <b/>
            <sz val="9"/>
            <color indexed="81"/>
            <rFont val="Tahoma"/>
            <family val="2"/>
          </rPr>
          <t xml:space="preserve">- Fertilização de Fundo com Fertilizantes Inorgânicos;
- Fertilização de Cobertura com Fertilizantes Orgânicos;
- Fertilização de Cobertura com Fertilizantes Inorgânicos.
</t>
        </r>
        <r>
          <rPr>
            <b/>
            <sz val="9"/>
            <color indexed="57"/>
            <rFont val="Tahoma"/>
            <family val="2"/>
          </rPr>
          <t xml:space="preserve">
</t>
        </r>
        <r>
          <rPr>
            <b/>
            <sz val="9"/>
            <color indexed="81"/>
            <rFont val="Tahoma"/>
            <family val="2"/>
          </rPr>
          <t>Preenchimento obrigatório apenas no âmbito do regime ecológico «promoção da fertilização orgânica».</t>
        </r>
      </text>
    </comment>
    <comment ref="B17" authorId="1" shapeId="0" xr:uid="{00000000-0006-0000-0900-00000A000000}">
      <text>
        <r>
          <rPr>
            <b/>
            <sz val="9"/>
            <color indexed="81"/>
            <rFont val="Tahoma"/>
            <family val="2"/>
          </rPr>
          <t>Valores possíveis:
- Estrume;
- Chorume;
- Mistura de fluentes pecuários;
- Digerido de Unidade de Biogás;
- Sedimentos depositados nas lagoas de armazenamento de efluentes pecuários;
- Composto com origem em efluentes pecuários ou seus equiparados;
- Outro tipo de Composto;
- Outro tipo de Fertilizante Orgânico;
- Fertilizante de síntese;</t>
        </r>
      </text>
    </comment>
    <comment ref="D17" authorId="1" shapeId="0" xr:uid="{00000000-0006-0000-0900-00000B000000}">
      <text>
        <r>
          <rPr>
            <b/>
            <sz val="9"/>
            <color indexed="81"/>
            <rFont val="Tahoma"/>
            <family val="2"/>
          </rPr>
          <t>Preencher quando se trate de efluente pecuário.
Valores possíveis:
- Bovino;
- Suíno;
- Ovino;
- Caprino;
- Aves;
- Equídeos;
- Leporídeos;
- Outras espécies pecuárias.</t>
        </r>
        <r>
          <rPr>
            <sz val="9"/>
            <color indexed="81"/>
            <rFont val="Tahoma"/>
            <family val="2"/>
          </rPr>
          <t xml:space="preserve">
</t>
        </r>
      </text>
    </comment>
    <comment ref="E17" authorId="1" shapeId="0" xr:uid="{00000000-0006-0000-0900-00000C000000}">
      <text>
        <r>
          <rPr>
            <b/>
            <sz val="9"/>
            <color indexed="81"/>
            <rFont val="Tahoma"/>
            <family val="2"/>
          </rPr>
          <t xml:space="preserve">Valor deverá assumir o formato dd-mm-aaaa.
</t>
        </r>
      </text>
    </comment>
    <comment ref="F17" authorId="1" shapeId="0" xr:uid="{00000000-0006-0000-0900-00000D000000}">
      <text>
        <r>
          <rPr>
            <b/>
            <sz val="9"/>
            <color indexed="81"/>
            <rFont val="Tahoma"/>
            <family val="2"/>
          </rPr>
          <t>Os registos efetuados neste campo devem atender ao previsto no plano de fertilização (Anexo I).</t>
        </r>
      </text>
    </comment>
    <comment ref="G17" authorId="1" shapeId="0" xr:uid="{00000000-0006-0000-0900-00000E000000}">
      <text>
        <r>
          <rPr>
            <b/>
            <sz val="9"/>
            <color indexed="81"/>
            <rFont val="Tahoma"/>
            <family val="2"/>
          </rPr>
          <t>Campo de preenchimento manual.</t>
        </r>
      </text>
    </comment>
    <comment ref="I17" authorId="1" shapeId="0" xr:uid="{00000000-0006-0000-0900-00000F000000}">
      <text>
        <r>
          <rPr>
            <b/>
            <sz val="9"/>
            <color indexed="81"/>
            <rFont val="Tahoma"/>
            <family val="2"/>
          </rPr>
          <t>Portaria n.º 259/2012 - campo de preenchimento obrigatório.</t>
        </r>
      </text>
    </comment>
    <comment ref="A34" authorId="1" shapeId="0" xr:uid="{00000000-0006-0000-0900-000010000000}">
      <text>
        <r>
          <rPr>
            <b/>
            <sz val="9"/>
            <color indexed="81"/>
            <rFont val="Tahoma"/>
            <family val="2"/>
          </rPr>
          <t>Quadro de preenchimento obrigatório apenas para as explorações em Zona Vulnerável para cumprimento do disposto na alínea a) do n.º 9 do artigo 8.º da Portaria n.º 259/2012, caso o beneficiário opte pelo registo em CCU.</t>
        </r>
      </text>
    </comment>
    <comment ref="F36" authorId="1" shapeId="0" xr:uid="{00000000-0006-0000-0900-000011000000}">
      <text>
        <r>
          <rPr>
            <b/>
            <sz val="9"/>
            <color indexed="81"/>
            <rFont val="Tahoma"/>
            <family val="2"/>
          </rPr>
          <t>A dedução de azoto só deverá ser efetuada a partir de 10 mg/l de nitratos, isto é, o N das águas de rega que apresentem teores iguais ou inferiores a 10 mg/l de NO3 não deve ser contabilizado</t>
        </r>
        <r>
          <rPr>
            <sz val="9"/>
            <color indexed="81"/>
            <rFont val="Tahoma"/>
            <family val="2"/>
          </rPr>
          <t xml:space="preserve">
</t>
        </r>
      </text>
    </comment>
    <comment ref="G36" authorId="1" shapeId="0" xr:uid="{00000000-0006-0000-0900-000012000000}">
      <text>
        <r>
          <rPr>
            <b/>
            <sz val="9"/>
            <color indexed="81"/>
            <rFont val="Tahoma"/>
            <family val="2"/>
          </rPr>
          <t>Podem ser consideradas duas situações distintas, a seguir apresentadas:
a) No caso da cultura do arroz e do agrião.
N=0,000226xTx0,40xVxf
N é a quantidade de azoto veiculada pela água, expressa em kg/ha;
T - é o teor médio de nitratos da água de rega, em mg/l de NO3;
V - é o volume total de água utilizada na rega, em m3/ha;
F - é um fator que depende da eficiência da rega (a água retida no canteiro é cerca de 30 a 60% do volume de água fornecido).
O fator 0,40 desta expressão corresponde à eficiência do azoto nítrico.
b) Nos restantes casos.
N=0,000226xTxVxF
N é a quantidade de azoto veiculada pela água, expressa em kg/ha;
T - é o teor médio de nitratos da água de rega, em mg/l de NO3;
V - é o volume total de água utilizada na rega, em m3/ha;
F - é um fator que depende da eficiência da rega (em rega localizada deve rondar 0,90 a 0,95).
Fonte: Manual das Boas Práticas para a Implementação do Programa de Ação em Zonas Vulneráveis de Portugal Continental (DGADR, 2021).</t>
        </r>
      </text>
    </comment>
    <comment ref="A67" authorId="1" shapeId="0" xr:uid="{00000000-0006-0000-0900-000013000000}">
      <text>
        <r>
          <rPr>
            <b/>
            <sz val="9"/>
            <color indexed="81"/>
            <rFont val="Tahoma"/>
            <family val="2"/>
          </rPr>
          <t>Preenchimento obrigatório apenas no âmbito do regime ecológico «promoção da fertilização orgânica».</t>
        </r>
      </text>
    </comment>
    <comment ref="A69" authorId="1" shapeId="0" xr:uid="{00000000-0006-0000-0900-000014000000}">
      <text>
        <r>
          <rPr>
            <b/>
            <sz val="9"/>
            <color indexed="81"/>
            <rFont val="Tahoma"/>
            <family val="2"/>
          </rPr>
          <t>Campo de preenchimento automático e que corresponde ao TOTAL do campo  «Quantidade de NTotal aplicada/ha» do Quadro «1 - Quantidades de azoto aplicadas».</t>
        </r>
        <r>
          <rPr>
            <sz val="9"/>
            <color indexed="81"/>
            <rFont val="Tahoma"/>
            <family val="2"/>
          </rPr>
          <t xml:space="preserve">
</t>
        </r>
      </text>
    </comment>
    <comment ref="A70" authorId="1" shapeId="0" xr:uid="{00000000-0006-0000-0900-000015000000}">
      <text>
        <r>
          <rPr>
            <b/>
            <sz val="9"/>
            <color indexed="81"/>
            <rFont val="Tahoma"/>
            <family val="2"/>
          </rPr>
          <t>Para determinar o valor de (B) o beneficiário deve somar todos os valores individuais registados no campo «Quantidade total de azoto (NTotal) aplicada» do Quadro «1 - Quantidades de azoto aplicadas» provenientes de efluentes pecuários, seus equiparados, sua mistura ou compostos de efluentes pecuários. Ou seja, ao TOTAL do campo «Quantidade total de azoto (NTotal) aplicada» do Quadro 1 deve ser subtraído o azoto proveniente dos fertilizantes de síntese.</t>
        </r>
      </text>
    </comment>
    <comment ref="A71" authorId="1" shapeId="0" xr:uid="{00000000-0006-0000-0900-000016000000}">
      <text>
        <r>
          <rPr>
            <b/>
            <sz val="9"/>
            <color indexed="81"/>
            <rFont val="Tahoma"/>
            <family val="2"/>
          </rPr>
          <t>Campo de preenchimento automático.</t>
        </r>
      </text>
    </comment>
    <comment ref="C73" authorId="1" shapeId="0" xr:uid="{00000000-0006-0000-0900-000017000000}">
      <text>
        <r>
          <rPr>
            <b/>
            <sz val="9"/>
            <color indexed="81"/>
            <rFont val="Tahoma"/>
            <family val="2"/>
          </rPr>
          <t>Preenchimento obrigatório apenas no âmbito do regime ecológico «promoção da fertilização orgânica».
Beneficiário deve preencher esta questão de acordo com o resultado obtido no campo (B)/(A) do Quadro «3 - Nível de fertilização orgânica».
Valores possíveis:
- Sim;
- Não.</t>
        </r>
      </text>
    </comment>
    <comment ref="C75" authorId="1" shapeId="0" xr:uid="{00000000-0006-0000-0900-000018000000}">
      <text>
        <r>
          <rPr>
            <b/>
            <sz val="9"/>
            <color indexed="81"/>
            <rFont val="Tahoma"/>
            <family val="2"/>
          </rPr>
          <t>Preenchimento obrigatório apenas no âmbito do regime ecológico «promoção da fertilização orgânica».
Beneficiário deve preencher esta questão de acordo com o resultado obtido no campo (B)/(A) do Quadro «3 - Nível de fertilização orgânica».
Valores possíveis:
- Sim;
- Não.</t>
        </r>
        <r>
          <rPr>
            <sz val="9"/>
            <color indexed="81"/>
            <rFont val="Tahoma"/>
            <family val="2"/>
          </rPr>
          <t xml:space="preserve">
</t>
        </r>
      </text>
    </comment>
    <comment ref="C82" authorId="1" shapeId="0" xr:uid="{00000000-0006-0000-0900-000019000000}">
      <text>
        <r>
          <rPr>
            <b/>
            <sz val="9"/>
            <color indexed="81"/>
            <rFont val="Tahoma"/>
            <family val="2"/>
          </rPr>
          <t>Preenchimento obrigatório apenas no âmbito do regime ecológico «promoção da fertilização orgânica».
O beneficiário deverá responder:
- Sim;
- Não.
Em caso de resposta afirmativa deverá responder às questão 4.1.2, 4.1.3 e 4.1.4.</t>
        </r>
      </text>
    </comment>
    <comment ref="F84" authorId="1" shapeId="0" xr:uid="{00000000-0006-0000-0900-00001A000000}">
      <text>
        <r>
          <rPr>
            <b/>
            <sz val="9"/>
            <color indexed="81"/>
            <rFont val="Tahoma"/>
            <family val="2"/>
          </rPr>
          <t>Preenchimento obrigatório apenas no âmbito do regime ecológico «promoção da fertilização orgânica» e se o beneficiário respondeu "Sim" à questão 4.1.1.
Valores possíveis:
- Equipamento a baixa pressão;
- Equipamento de injeção direta;
- Outro tipo de equipamento.</t>
        </r>
        <r>
          <rPr>
            <sz val="9"/>
            <color indexed="81"/>
            <rFont val="Tahoma"/>
            <family val="2"/>
          </rPr>
          <t xml:space="preserve">
</t>
        </r>
      </text>
    </comment>
    <comment ref="F86" authorId="1" shapeId="0" xr:uid="{00000000-0006-0000-0900-00001B000000}">
      <text>
        <r>
          <rPr>
            <b/>
            <sz val="9"/>
            <color indexed="81"/>
            <rFont val="Tahoma"/>
            <family val="2"/>
          </rPr>
          <t>Preenchimento obrigatório apenas no âmbito do regime ecológico «promoção da fertilização orgânica» e se o beneficiário respondeu "Sim" à questão 4.1.1.
Valores possíveis:
- Chorume incorporado até 4 horas após a distribuição;
- Chorume incorporado mais de 4 horas após a distribuição*
(*) - De acordo com o n.º 21, do artigo 10º da Portaria n.º 259/2012, de 28 de agosto, o período de intervalo de tempo entre a distribuiçao e a incorporação de chorume, pode ser superior a 4 horas, desde que a sua aplicação cumpra simultaneamente as seguintes condições: 
     1) Aplicação e cobertura ou em sementeira direta sem injeção;
     2) Seguida de rega controlada em tempo seco.</t>
        </r>
        <r>
          <rPr>
            <sz val="9"/>
            <color indexed="81"/>
            <rFont val="Tahoma"/>
            <family val="2"/>
          </rPr>
          <t xml:space="preserve">
</t>
        </r>
      </text>
    </comment>
    <comment ref="F88" authorId="1" shapeId="0" xr:uid="{00000000-0006-0000-0900-00001C000000}">
      <text>
        <r>
          <rPr>
            <b/>
            <sz val="9"/>
            <color indexed="81"/>
            <rFont val="Tahoma"/>
            <family val="2"/>
          </rPr>
          <t>Preenchimento obrigatório apenas no âmbito do regime ecológico «promoção da fertilização orgânica» e se o beneficiário respondeu "Sim" à questão 4.1.1.
Valores possíveis:
- Antes da sementeira (em fundo);
- Em sementeira direta;
- Sobre cultura já instalada (em cobertura).</t>
        </r>
        <r>
          <rPr>
            <sz val="9"/>
            <color indexed="81"/>
            <rFont val="Tahoma"/>
            <family val="2"/>
          </rPr>
          <t xml:space="preserve">
</t>
        </r>
      </text>
    </comment>
    <comment ref="E92" authorId="1" shapeId="0" xr:uid="{00000000-0006-0000-0900-00001D000000}">
      <text>
        <r>
          <rPr>
            <b/>
            <sz val="9"/>
            <color indexed="81"/>
            <rFont val="Tahoma"/>
            <family val="2"/>
          </rPr>
          <t>Preenchimento obrigatório apenas no âmbito do regime ecológico «promoção da fertilização orgânica».
O beneficiário deverá responder:
- Sim;
- Não.
Em caso de resposta afirmativa deverá responder à questão 4.2.2.</t>
        </r>
        <r>
          <rPr>
            <sz val="9"/>
            <color indexed="81"/>
            <rFont val="Tahoma"/>
            <family val="2"/>
          </rPr>
          <t xml:space="preserve">
</t>
        </r>
      </text>
    </comment>
    <comment ref="G94" authorId="1" shapeId="0" xr:uid="{00000000-0006-0000-0900-00001E000000}">
      <text>
        <r>
          <rPr>
            <b/>
            <sz val="9"/>
            <color indexed="81"/>
            <rFont val="Tahoma"/>
            <family val="2"/>
          </rPr>
          <t xml:space="preserve">Preenchimento obrigatório apenas no âmbito do regime ecológico «promoção da fertilização orgânica» e se o beneficiário respondeu "Sim" à questão 4.2.1.
Valores possíveis:
- Estrume ou outra F.O. incorporado até 24 horas após a distribuição;
- Estrume ou outra F.O. incorporado mais de 24 horas após a distribuição.
</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Direção de Serviços do Regadio</author>
  </authors>
  <commentList>
    <comment ref="A1" authorId="0" shapeId="0" xr:uid="{00000000-0006-0000-0A00-000001000000}">
      <text>
        <r>
          <rPr>
            <b/>
            <sz val="9"/>
            <color indexed="81"/>
            <rFont val="Tahoma"/>
            <family val="2"/>
          </rPr>
          <t>Registo obrigatório para a intervenção Uso Eficiente da Água. Registo diário de frequência semanal.
No preenchimento do calendário de rega, o beneficiário deve ter em atenção:
i. Caso uma zona homogénea inclua apenas uma cultura, poderá ser preenchido apenas um calendário de rega, que será repetido para cada contador envolvido nessa zona;
ii. Caso uma zona homogénea inclua diversas culturas, terão que ser preenchidos tantos calendários de rega quantas as culturas e quantos os contadores.</t>
        </r>
      </text>
    </comment>
    <comment ref="D3" authorId="1" shapeId="0" xr:uid="{00000000-0006-0000-0A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F3" authorId="1" shapeId="0" xr:uid="{00000000-0006-0000-0A00-000003000000}">
      <text>
        <r>
          <rPr>
            <b/>
            <sz val="9"/>
            <color indexed="81"/>
            <rFont val="Tahoma"/>
            <family val="2"/>
          </rPr>
          <t>Preencher com o n.º de subparcela constante no iE para a corresponde parcela com o n.º sequencial registado no campo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K3" authorId="2" shapeId="0" xr:uid="{00000000-0006-0000-0A00-000004000000}">
      <text>
        <r>
          <rPr>
            <b/>
            <sz val="9"/>
            <color indexed="81"/>
            <rFont val="Tahoma"/>
            <family val="2"/>
          </rPr>
          <t>Cenário A (médio ou semi-húmido)
Cenário B (seco).</t>
        </r>
      </text>
    </comment>
    <comment ref="E5" authorId="1" shapeId="0" xr:uid="{00000000-0006-0000-0A00-000005000000}">
      <text>
        <r>
          <rPr>
            <b/>
            <sz val="9"/>
            <color indexed="81"/>
            <rFont val="Tahoma"/>
            <family val="2"/>
          </rPr>
          <t>Preencher apenas no caso de culturas temporárias.</t>
        </r>
        <r>
          <rPr>
            <sz val="9"/>
            <color indexed="81"/>
            <rFont val="Tahoma"/>
            <family val="2"/>
          </rPr>
          <t xml:space="preserve">
</t>
        </r>
      </text>
    </comment>
    <comment ref="L11" authorId="1" shapeId="0" xr:uid="{00000000-0006-0000-0A00-000006000000}">
      <text>
        <r>
          <rPr>
            <b/>
            <sz val="9"/>
            <color indexed="81"/>
            <rFont val="Tahoma"/>
            <family val="2"/>
          </rPr>
          <t>Preencher com o n.º da semana ao qual diz respeito o calendário de rega e ano cívil</t>
        </r>
        <r>
          <rPr>
            <sz val="9"/>
            <color indexed="81"/>
            <rFont val="Tahoma"/>
            <family val="2"/>
          </rPr>
          <t xml:space="preserve">
</t>
        </r>
      </text>
    </comment>
    <comment ref="A13" authorId="1" shapeId="0" xr:uid="{00000000-0006-0000-0A00-000007000000}">
      <text>
        <r>
          <rPr>
            <b/>
            <sz val="9"/>
            <color indexed="81"/>
            <rFont val="Tahoma"/>
            <family val="2"/>
          </rPr>
          <t>Identificar, em cada um dos campos seguintes o dia da semana, dia do mês e mês</t>
        </r>
      </text>
    </comment>
    <comment ref="A25" authorId="1" shapeId="0" xr:uid="{00000000-0006-0000-0A00-000008000000}">
      <text>
        <r>
          <rPr>
            <b/>
            <sz val="9"/>
            <color indexed="81"/>
            <rFont val="Tahoma"/>
            <family val="2"/>
          </rPr>
          <t>A ser preenchido apenas por regantes da classe A e B+.</t>
        </r>
        <r>
          <rPr>
            <sz val="9"/>
            <color indexed="81"/>
            <rFont val="Tahoma"/>
            <family val="2"/>
          </rPr>
          <t xml:space="preserve">
</t>
        </r>
      </text>
    </comment>
    <comment ref="A26" authorId="1" shapeId="0" xr:uid="{00000000-0006-0000-0A00-000009000000}">
      <text>
        <r>
          <rPr>
            <b/>
            <sz val="9"/>
            <color indexed="81"/>
            <rFont val="Tahoma"/>
            <family val="2"/>
          </rPr>
          <t>A ser preenchido apenas por regantes da classe A e B+.</t>
        </r>
        <r>
          <rPr>
            <sz val="9"/>
            <color indexed="81"/>
            <rFont val="Tahoma"/>
            <family val="2"/>
          </rPr>
          <t xml:space="preserve">
</t>
        </r>
      </text>
    </comment>
    <comment ref="A36" authorId="1" shapeId="0" xr:uid="{00000000-0006-0000-0A00-00000A000000}">
      <text>
        <r>
          <rPr>
            <b/>
            <sz val="9"/>
            <color indexed="81"/>
            <rFont val="Tahoma"/>
            <family val="2"/>
          </rPr>
          <t>A ser preenchido apenas por regantes da classe A.</t>
        </r>
        <r>
          <rPr>
            <sz val="9"/>
            <color indexed="81"/>
            <rFont val="Tahoma"/>
            <family val="2"/>
          </rPr>
          <t xml:space="preserve">
</t>
        </r>
      </text>
    </comment>
    <comment ref="A38" authorId="1" shapeId="0" xr:uid="{00000000-0006-0000-0A00-00000B000000}">
      <text>
        <r>
          <rPr>
            <b/>
            <sz val="9"/>
            <color indexed="81"/>
            <rFont val="Tahoma"/>
            <family val="2"/>
          </rPr>
          <t>A ser preenchido apenas por regantes da classe A.</t>
        </r>
      </text>
    </comment>
    <comment ref="A40" authorId="1" shapeId="0" xr:uid="{00000000-0006-0000-0A00-00000C000000}">
      <text>
        <r>
          <rPr>
            <b/>
            <sz val="9"/>
            <color indexed="81"/>
            <rFont val="Tahoma"/>
            <family val="2"/>
          </rPr>
          <t>A ser preenchido apenas por regantes da classe A.</t>
        </r>
        <r>
          <rPr>
            <sz val="9"/>
            <color indexed="81"/>
            <rFont val="Tahoma"/>
            <family val="2"/>
          </rPr>
          <t xml:space="preserve">
</t>
        </r>
      </text>
    </comment>
    <comment ref="A42" authorId="1" shapeId="0" xr:uid="{00000000-0006-0000-0A00-00000D000000}">
      <text>
        <r>
          <rPr>
            <b/>
            <sz val="9"/>
            <color indexed="81"/>
            <rFont val="Tahoma"/>
            <family val="2"/>
          </rPr>
          <t>A ser preenchido apenas por regantes da classe A.</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s>
  <commentList>
    <comment ref="A2" authorId="0" shapeId="0" xr:uid="{00000000-0006-0000-0B00-000001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text>
    </comment>
    <comment ref="E9" authorId="1" shapeId="0" xr:uid="{00000000-0006-0000-0B00-000002000000}">
      <text>
        <r>
          <rPr>
            <sz val="9"/>
            <color indexed="81"/>
            <rFont val="Tahoma"/>
            <family val="2"/>
          </rPr>
          <t>Exemplos de operações gerais: cortes de caudas colocação de elásticos (*), tosquias, estabulação, arganéis (*), cortes de bicos e de chifres (*), manutenção de estruturas; períodos de acesso a áreas de movimentação livre.</t>
        </r>
      </text>
    </comment>
    <comment ref="C13" authorId="1" shapeId="0" xr:uid="{00000000-0006-0000-0B00-000003000000}">
      <text>
        <r>
          <rPr>
            <sz val="9"/>
            <color indexed="81"/>
            <rFont val="Tahoma"/>
            <family val="2"/>
          </rPr>
          <t>Registar os nascimentos e mortes ocorridos num período de tempo pré-definido (ex.: quinzenalmente, mensalmente). As vendas são de preenchimento obrigatório no dia em que ocorreram. Poderá remeter para o registo do Livro de Registo de Existências e Deslocações.</t>
        </r>
      </text>
    </comment>
    <comment ref="D13" authorId="1" shapeId="0" xr:uid="{00000000-0006-0000-0B00-000004000000}">
      <text>
        <r>
          <rPr>
            <sz val="9"/>
            <color indexed="81"/>
            <rFont val="Tahoma"/>
            <family val="2"/>
          </rPr>
          <t>Registar apenas as alterações ocorridas, isto é, o início de uma determinada dieta e os dias em que haja alteração da dieta anteriormente registada. Sempre que iniciar uma dieta com um alimento composto, indicar a proporção dos vários ingredientes.</t>
        </r>
      </text>
    </comment>
    <comment ref="F13" authorId="1" shapeId="0" xr:uid="{00000000-0006-0000-0B00-000005000000}">
      <text>
        <r>
          <rPr>
            <sz val="9"/>
            <color indexed="81"/>
            <rFont val="Tahoma"/>
            <family val="2"/>
          </rPr>
          <t>Deve remeter para o registo do Livro de Registo de Medicamentos, ou para o Plano de Profilaxia Médica e Sanitária.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3" authorId="0" shapeId="0" xr:uid="{00000000-0006-0000-0C00-000001000000}">
      <text>
        <r>
          <rPr>
            <b/>
            <sz val="9"/>
            <color indexed="81"/>
            <rFont val="Tahoma"/>
            <family val="2"/>
          </rPr>
          <t>Preencher apenas no caso do beneficiário ter compromisso ativo na intervenção Agricultura Biológica.
Pretende-se que neste quadro sejam registadas todas as operações de processamento e comercialização quando tal seja realizado diretamente pelo produtor</t>
        </r>
      </text>
    </comment>
    <comment ref="D5" authorId="0" shapeId="0" xr:uid="{00000000-0006-0000-0C00-000002000000}">
      <text>
        <r>
          <rPr>
            <b/>
            <sz val="9"/>
            <color indexed="81"/>
            <rFont val="Tahoma"/>
            <family val="2"/>
          </rPr>
          <t xml:space="preserve">Exploração em conversão para Produção Biológica (PB), assinalar:
C1 - Primeiro ano de conversão para PB;
C2 - Segundo ano de conversão para PB;
C3 - Terceiro ano de conversão para PB.
</t>
        </r>
        <r>
          <rPr>
            <sz val="9"/>
            <color indexed="81"/>
            <rFont val="Tahoma"/>
            <family val="2"/>
          </rPr>
          <t xml:space="preserve">
</t>
        </r>
      </text>
    </comment>
    <comment ref="A10" authorId="0" shapeId="0" xr:uid="{00000000-0006-0000-0C00-000003000000}">
      <text>
        <r>
          <rPr>
            <b/>
            <sz val="9"/>
            <color indexed="81"/>
            <rFont val="Tahoma"/>
            <family val="2"/>
          </rPr>
          <t>Preencher apenas para cultura permanente.</t>
        </r>
        <r>
          <rPr>
            <sz val="9"/>
            <color indexed="81"/>
            <rFont val="Tahoma"/>
            <family val="2"/>
          </rPr>
          <t xml:space="preserve">
</t>
        </r>
      </text>
    </comment>
    <comment ref="C10" authorId="0" shapeId="0" xr:uid="{00000000-0006-0000-0C00-000004000000}">
      <text>
        <r>
          <rPr>
            <b/>
            <sz val="9"/>
            <color indexed="81"/>
            <rFont val="Tahoma"/>
            <family val="2"/>
          </rPr>
          <t>Preencher apenas para cultura permanente.</t>
        </r>
        <r>
          <rPr>
            <sz val="9"/>
            <color indexed="81"/>
            <rFont val="Tahoma"/>
            <family val="2"/>
          </rPr>
          <t xml:space="preserve">
</t>
        </r>
      </text>
    </comment>
    <comment ref="G10" authorId="0" shapeId="0" xr:uid="{00000000-0006-0000-0C00-000005000000}">
      <text>
        <r>
          <rPr>
            <b/>
            <sz val="9"/>
            <color indexed="81"/>
            <rFont val="Tahoma"/>
            <family val="2"/>
          </rPr>
          <t>Preencher apenas para cultura permanente</t>
        </r>
        <r>
          <rPr>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s>
  <commentList>
    <comment ref="A3" authorId="0" shapeId="0" xr:uid="{00000000-0006-0000-0D00-000001000000}">
      <text>
        <r>
          <rPr>
            <b/>
            <sz val="9"/>
            <color indexed="81"/>
            <rFont val="Tahoma"/>
            <family val="2"/>
          </rPr>
          <t xml:space="preserve">Quadro disponibilizado para os beneficiários que tenham compromisso ativo na intervenção Agricultura Biológica ou PRODI poderem cumprir as suas obrigações de registo referentes aos factores de produção (todos os campos devem ser preenchidos se aplicáveis, exceto o campo "fornecedor").
O Registo de aquisições/entradas, no caso de o beneficiário assim o desejar, pode ser utilizado para cumprimento do indicador 2.1 da área 2 (no que respeita às aquisições) do RLG 5 da Portaria n.º 54-Q/2023, de 27 de fevereiro e de acordo com as diretrizes constantes na Orietação Técnica Geral - Condicionalidade - Requisitos Legais de Gestão, GPP/OT/2023/4, devendo ser preenchidos os seguintes campos do quadro do Separador 9:
     -Data;
     - Produto;
     - Quantidade;
     - Fornecedor.
</t>
        </r>
      </text>
    </comment>
    <comment ref="B6" authorId="1" shapeId="0" xr:uid="{00000000-0006-0000-0D00-000002000000}">
      <text>
        <r>
          <rPr>
            <b/>
            <sz val="9"/>
            <color indexed="81"/>
            <rFont val="Tahoma"/>
            <family val="2"/>
          </rPr>
          <t>Produto (fator de produção) – No âmbito das obrigações do Modo de Produção Biológico ou de PRODI, é obrigatório registar todos os factores de produção aplicados em cada zona homogénea ou grupo homogéneo (animais).
Para cumprimento do indicador 2.1 da área 2 do RLG 5 (aquisições), entende-se por produto qualquer alimento ou ingrediente destinado a ser incorporado num alimento para animais produtores de géneros alimentícios. Excluem-se os medicamentos veterinários.</t>
        </r>
      </text>
    </comment>
    <comment ref="C6" authorId="1" shapeId="0" xr:uid="{00000000-0006-0000-0D00-000003000000}">
      <text>
        <r>
          <rPr>
            <b/>
            <sz val="9"/>
            <color indexed="81"/>
            <rFont val="Tahoma"/>
            <family val="2"/>
          </rPr>
          <t>Quantidade (kg, L, t) – Descriminar individualmente a quantidade aplicada.</t>
        </r>
      </text>
    </comment>
    <comment ref="D6" authorId="0" shapeId="0" xr:uid="{00000000-0006-0000-0D00-000004000000}">
      <text>
        <r>
          <rPr>
            <b/>
            <sz val="9"/>
            <color indexed="81"/>
            <rFont val="Tahoma"/>
            <family val="2"/>
          </rPr>
          <t>Preencher campo apenas quando o Separador 9 é utilizado para o cumprimento do registo das aquisições no âmbito do indicador 2.1 da área 2 do RLG 5 da Portaria n.º 54-Q/2023</t>
        </r>
        <r>
          <rPr>
            <b/>
            <sz val="9"/>
            <color indexed="57"/>
            <rFont val="Tahoma"/>
            <family val="2"/>
          </rPr>
          <t>.</t>
        </r>
      </text>
    </comment>
    <comment ref="E6" authorId="1" shapeId="0" xr:uid="{00000000-0006-0000-0D00-000005000000}">
      <text>
        <r>
          <rPr>
            <b/>
            <sz val="9"/>
            <color indexed="81"/>
            <rFont val="Tahoma"/>
            <family val="2"/>
          </rPr>
          <t>Identificar a origem quando o produto é proveniente do exterior da unidade: fornecedor, exploração, região, país. Registo facultativo quando a origem esteja explícita em documento anexo.</t>
        </r>
      </text>
    </comment>
    <comment ref="F6" authorId="1" shapeId="0" xr:uid="{00000000-0006-0000-0D00-000006000000}">
      <text>
        <r>
          <rPr>
            <b/>
            <sz val="9"/>
            <color indexed="81"/>
            <rFont val="Tahoma"/>
            <family val="2"/>
          </rPr>
          <t>Local ou animais da unidade a que se destina: parcela, zona/lote homogéneo, transformação, armazém, etc.</t>
        </r>
      </text>
    </comment>
    <comment ref="G6" authorId="1" shapeId="0" xr:uid="{00000000-0006-0000-0D00-000007000000}">
      <text>
        <r>
          <rPr>
            <b/>
            <sz val="9"/>
            <color indexed="81"/>
            <rFont val="Tahoma"/>
            <family val="2"/>
          </rPr>
          <t>Para facilitar a identificação, pode-se assinalar os documentos de compra com números sequenciais para os identificar nesta coluna.</t>
        </r>
      </text>
    </comment>
    <comment ref="H6" authorId="1" shapeId="0" xr:uid="{00000000-0006-0000-0D00-000008000000}">
      <text>
        <r>
          <rPr>
            <b/>
            <sz val="9"/>
            <color indexed="81"/>
            <rFont val="Tahoma"/>
            <family val="2"/>
          </rPr>
          <t>Sempre que exista contador de energia elétrica. A periodicidade pode ser ajustada às necessidades individuais.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s>
  <commentList>
    <comment ref="A2" authorId="0" shapeId="0" xr:uid="{00000000-0006-0000-0E00-000001000000}">
      <text>
        <r>
          <rPr>
            <b/>
            <sz val="9"/>
            <color indexed="81"/>
            <rFont val="Tahoma"/>
            <family val="2"/>
          </rPr>
          <t>O Registo de vendas, no caso de o beneficiário assim o desejar, pode ser utilizado para cumprimento do indicador 1.1 da Área n.º 1 e do indicador 2.1 da Área n.º 2 (vno que respeita às vendas) do RLG 5 da Portaria n.º 54-Q/2023, de 27 de fevereiro e de acordo com as diretrizes constantes na Orietação Técnica Geral - Condicionalidade - Requisitos Legais de Gestão, GPP/OT/2023/4.
No âmbito do indicador 1.1. da área 1, devem ser registadas as vendas de qualquer produto primário (produção vegetal) produzido na exploração e que for transacionado, designadamente grãos de cereais e milho silagem.
No âmbito do indicador 2.1 da área 2, devem ser registadas as vendas</t>
        </r>
        <r>
          <rPr>
            <b/>
            <sz val="9"/>
            <color indexed="81"/>
            <rFont val="Tahoma"/>
            <family val="2"/>
          </rPr>
          <t xml:space="preserve"> dos produtos primários de origem animal (ovos, leite cru, mel e colostro).</t>
        </r>
        <r>
          <rPr>
            <b/>
            <sz val="9"/>
            <color indexed="57"/>
            <rFont val="Tahoma"/>
            <family val="2"/>
          </rPr>
          <t xml:space="preserve">
</t>
        </r>
      </text>
    </comment>
    <comment ref="A5" authorId="0" shapeId="0" xr:uid="{00000000-0006-0000-0E00-000002000000}">
      <text>
        <r>
          <rPr>
            <b/>
            <sz val="9"/>
            <color indexed="81"/>
            <rFont val="Tahoma"/>
            <family val="2"/>
          </rPr>
          <t>Preencher data da venda no formato dd-mm-aaaa.</t>
        </r>
        <r>
          <rPr>
            <sz val="9"/>
            <color indexed="81"/>
            <rFont val="Tahoma"/>
            <family val="2"/>
          </rPr>
          <t xml:space="preserve">
</t>
        </r>
      </text>
    </comment>
    <comment ref="B5" authorId="1" shapeId="0" xr:uid="{00000000-0006-0000-0E00-000003000000}">
      <text>
        <r>
          <rPr>
            <b/>
            <sz val="9"/>
            <color indexed="81"/>
            <rFont val="Verdana"/>
            <family val="2"/>
          </rPr>
          <t>No âmbito do Modo de Produção Biológico e de PRODI, identificar o produto vegetal primário vendido.
No âmbito do RGL 5:
- Para cumprimento do indicador 1.1 da área 1, entende-se por produto, qualquer produto vegetal primário produzido na exploração e que foi transacionado (vendido), designadamente grãos de cereais e milho silagem;
-  Para cumprimento do indicador 2.1 da área 2 (vendas), entende-se por produto vendido, os produtos primários de origem animal (ovos, leite cru, mel e colostro).</t>
        </r>
      </text>
    </comment>
    <comment ref="C5" authorId="1" shapeId="0" xr:uid="{00000000-0006-0000-0E00-000004000000}">
      <text>
        <r>
          <rPr>
            <b/>
            <sz val="9"/>
            <color indexed="81"/>
            <rFont val="Tahoma"/>
            <family val="2"/>
          </rPr>
          <t>Quantidade (kg, L, t) – Descriminar individualmente a quantidade aplicada</t>
        </r>
        <r>
          <rPr>
            <sz val="9"/>
            <color indexed="81"/>
            <rFont val="Tahoma"/>
            <family val="2"/>
          </rPr>
          <t>.</t>
        </r>
      </text>
    </comment>
    <comment ref="D5" authorId="1" shapeId="0" xr:uid="{00000000-0006-0000-0E00-000005000000}">
      <text>
        <r>
          <rPr>
            <b/>
            <sz val="9"/>
            <color indexed="81"/>
            <rFont val="Tahoma"/>
            <family val="2"/>
          </rPr>
          <t>Identificar o cliente a quem se vendeu o produto vegetal primário.</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2" authorId="0" shapeId="0" xr:uid="{00000000-0006-0000-0F00-000001000000}">
      <text>
        <r>
          <rPr>
            <b/>
            <sz val="9"/>
            <color indexed="81"/>
            <rFont val="Tahoma"/>
            <family val="2"/>
          </rPr>
          <t>O Registo da gestão de efluentes pecuários, no caso de o beneficiário assim o desejar, pode ser utilizado para cumprimento da Portaria n.º 259/2012 (Anexo XI), de 28 de agosto e para cumprimento, em parte (apoio à verificação dos indicadores 2.1 e 2.2), ao indicador 2 do RLG 2 da Portaria n.º 54-Q/2023, de 27 de fevereiro.</t>
        </r>
      </text>
    </comment>
    <comment ref="D6" authorId="0" shapeId="0" xr:uid="{00000000-0006-0000-0F00-000002000000}">
      <text>
        <r>
          <rPr>
            <b/>
            <sz val="9"/>
            <color indexed="81"/>
            <rFont val="Tahoma"/>
            <family val="2"/>
          </rPr>
          <t>m</t>
        </r>
        <r>
          <rPr>
            <b/>
            <vertAlign val="superscript"/>
            <sz val="9"/>
            <color indexed="81"/>
            <rFont val="Tahoma"/>
            <family val="2"/>
          </rPr>
          <t>3</t>
        </r>
        <r>
          <rPr>
            <b/>
            <sz val="9"/>
            <color indexed="81"/>
            <rFont val="Tahoma"/>
            <family val="2"/>
          </rPr>
          <t xml:space="preserve"> refere-se à unidade de capacidade do chorume.</t>
        </r>
        <r>
          <rPr>
            <sz val="9"/>
            <color indexed="81"/>
            <rFont val="Tahoma"/>
            <family val="2"/>
          </rPr>
          <t xml:space="preserve">
</t>
        </r>
      </text>
    </comment>
    <comment ref="F16" authorId="0" shapeId="0" xr:uid="{00000000-0006-0000-0F00-000003000000}">
      <text>
        <r>
          <rPr>
            <b/>
            <sz val="9"/>
            <color indexed="81"/>
            <rFont val="Tahoma"/>
            <family val="2"/>
          </rPr>
          <t>Na gestão de efluentes pecuários, devem ser registadas na origem as informações e os documentos relativos à venda/cedência a terceiros e relativos a efluentes adquiridos externamente à exploração agrícola, de onde conste:
i) A dat em que os efluentes pecuários foram retirados da instalação de origem ou recebidos na instalação de destino;
ii) A composição do produto, a sua caracterização físico-química e a identificação da espécie animal que o produziu;
iii) A quantidade das matérias transportadas (em peso ou volume);
iv) A identificação e o endereço do transportador, bem como a identificação do veículo de transporte;
v) A identificação e o endereço do destino ou da origem, bem como o respetivo número de registo da exploração.
Os registos referidos nas sub-alíneas i) a v) do presente anexo devem ser conservados por um período mínimo de cinco anos para apresentação às autoridades competentes, quando solicitados.</t>
        </r>
        <r>
          <rPr>
            <sz val="9"/>
            <color indexed="81"/>
            <rFont val="Tahoma"/>
            <family val="2"/>
          </rPr>
          <t xml:space="preserve">
</t>
        </r>
      </text>
    </comment>
    <comment ref="H16" authorId="0" shapeId="0" xr:uid="{00000000-0006-0000-0F00-000004000000}">
      <text>
        <r>
          <rPr>
            <b/>
            <sz val="9"/>
            <color indexed="81"/>
            <rFont val="Tahoma"/>
            <family val="2"/>
          </rPr>
          <t>Na gestão de efluentes pecuários, devem ser registadas na origem as informações e os documentos relativos à venda/cedência a terceiros e relativos a efluentes adquiridos externamente à exploração agrícola, de onde conste:
i) A dat em que os efluentes pecuários foram retirados da instalação de origem ou recebidos na instalação de destino;
ii) A composição do produto, a sua caracterização físico-química e a identificação da espécie animal que o produziu;
iii) A quantidade das matérias transportadas (em peso ou volume);
iv) A identificação e o endereço do transportador, bem como a identificação do veículo de transporte;
v) A identificação e o endereço do destino ou da origem, bem como o respetivo número de registo da exploração.
Os registos referidos nas sub-alíneas i) a v) do presente anexo devem ser conservados por um período mínimo de cinco anos para apresentação às autoridades competentes, quando solicitados.</t>
        </r>
        <r>
          <rPr>
            <sz val="9"/>
            <color indexed="81"/>
            <rFont val="Tahoma"/>
            <family val="2"/>
          </rPr>
          <t xml:space="preserve">
</t>
        </r>
      </text>
    </comment>
    <comment ref="H29" authorId="0" shapeId="0" xr:uid="{00000000-0006-0000-0F00-000005000000}">
      <text>
        <r>
          <rPr>
            <b/>
            <sz val="9"/>
            <color indexed="81"/>
            <rFont val="Tahoma"/>
            <family val="2"/>
          </rPr>
          <t>m3 refere-se à unidade de capacidade do chorume.
t refere-se à unidade de peso do estrume</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DSPP</author>
  </authors>
  <commentList>
    <comment ref="A1" authorId="0" shapeId="0" xr:uid="{00000000-0006-0000-1000-000001000000}">
      <text>
        <r>
          <rPr>
            <b/>
            <sz val="9"/>
            <color indexed="81"/>
            <rFont val="Tahoma"/>
            <family val="2"/>
          </rPr>
          <t xml:space="preserve">O Plano de Fertilização é obrigatório para as seguintes intervenções PEPAC: Produção Integrada, Maneio da Pastagem Permanente, Promoção da Fertilização Orgânica, Conservação do Solo - Pastagens Biodiversas e Uso Eficiente da Água.
Pretende-se que o Agricultor/operador apresente uma estimativa das fertilizações a efetuar, com base nos resultados dos boletins de análise, nas produções esperadas, tendo em consideração as recomendações do Manual de Fertilização das Culturas do INIAV (2022), as recomendações constantes do normativo de Produção Integrada ou o Regulamento n.º 2018/848 (produção biológica).
Deve ser elaborado um plano por zona homogénea, se a diferença entre zonas homogéneas o justificar. O Plano de Fertilização é obrigatório, mas pode ser apresentado segundo outro modelo, desde que contenha a informação solicitada neste quadro.
O Plano de Fertilização, no caso de o beneficiário assim o desejar, pode ser utilizado para cumprimento das suas obrigações no âmbito da: 
    - Condicionalidade:
       </t>
        </r>
        <r>
          <rPr>
            <b/>
            <sz val="9"/>
            <color indexed="48"/>
            <rFont val="Tahoma"/>
            <family val="2"/>
          </rPr>
          <t xml:space="preserve"> </t>
        </r>
        <r>
          <rPr>
            <b/>
            <sz val="9"/>
            <color indexed="81"/>
            <rFont val="Tahoma"/>
            <family val="2"/>
          </rPr>
          <t xml:space="preserve">  a) indicador 3.2 do RLG 2 (existência de boletins de análise para o azoto) da Portaria n.º 54-Q/2023:  CCU – Anexo 1 - quadros 1.1, 1.2
              e 1.3 nas respetivas células designadas por “N.º do boletim” (este registo não dispensa a apresentação dos boletins de análises 
              quando solicitado);
          b) indicador 3.1 do RLG 2: de acordo com o texto do Manual da Condicionalidade referente ao Indicador 3.1 é obrigatório o 
               preenchimento do Plano de Fertilização e do registo de fertilização.
    - Programa de Ação das Zonas Vulneráveis - o plano de fertilização deve cumprir as disposições constantes na Portaria n.º 259/2012).
No âmbito da Portaria n.º 259/2012 e da Condicionalidade:
    - Não são de preenchimento obrigatório os campos: "cultura permanente em fase de:", "instalação", "manutenção até entrada em produção", "em produção" e os quadros 1.4 e 1.5;
    - No entanto, o quadro 1.4 pode ser utilizado para apoio dos cálculos referentes aos fertilizantes orgânicos;
    - Nos quadro 1.1, 1.2, 1.3, 1.7, 2, 3 e 4 apenas é obrigatório o preenchimento referente ao azoto (N).</t>
        </r>
      </text>
    </comment>
    <comment ref="D3" authorId="1" shapeId="0" xr:uid="{00000000-0006-0000-10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F3" authorId="1" shapeId="0" xr:uid="{00000000-0006-0000-1000-000003000000}">
      <text>
        <r>
          <rPr>
            <b/>
            <sz val="9"/>
            <color indexed="81"/>
            <rFont val="Tahoma"/>
            <family val="2"/>
          </rPr>
          <t>Preencher com o n.º de subparcela constante no iE para a corresponde parcela com o n.º sequencial registado no campo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D5" authorId="1" shapeId="0" xr:uid="{00000000-0006-0000-1000-000004000000}">
      <text>
        <r>
          <rPr>
            <b/>
            <sz val="9"/>
            <color indexed="81"/>
            <rFont val="Tahoma"/>
            <family val="2"/>
          </rPr>
          <t>Preencher apenas para culturas ou pastagens permanentes</t>
        </r>
        <r>
          <rPr>
            <sz val="9"/>
            <color indexed="81"/>
            <rFont val="Tahoma"/>
            <family val="2"/>
          </rPr>
          <t xml:space="preserve">
</t>
        </r>
      </text>
    </comment>
    <comment ref="A7" authorId="1" shapeId="0" xr:uid="{00000000-0006-0000-1000-000005000000}">
      <text>
        <r>
          <rPr>
            <b/>
            <sz val="9"/>
            <color indexed="81"/>
            <rFont val="Tahoma"/>
            <family val="2"/>
          </rPr>
          <t>Assinalar com "X" o campo da fase de desenvolvimento em que se encontra a cultura permanente a que corresponde o plano de fertilização.</t>
        </r>
        <r>
          <rPr>
            <sz val="9"/>
            <color indexed="81"/>
            <rFont val="Tahoma"/>
            <family val="2"/>
          </rPr>
          <t xml:space="preserve">
</t>
        </r>
      </text>
    </comment>
    <comment ref="A11" authorId="1" shapeId="0" xr:uid="{00000000-0006-0000-1000-000006000000}">
      <text>
        <r>
          <rPr>
            <b/>
            <sz val="9"/>
            <color indexed="81"/>
            <rFont val="Tahoma"/>
            <family val="2"/>
          </rPr>
          <t>Os boletins de análise devem ser mantidos pelo beneficiário por forma a serem consultados sempre que necessário pelas entidades que monitorizam, verificam a aplicação da legislação nacional aplicável no âmbito da gestão de nutrientes disponibilizados às culturas.</t>
        </r>
        <r>
          <rPr>
            <sz val="9"/>
            <color indexed="81"/>
            <rFont val="Tahoma"/>
            <family val="2"/>
          </rPr>
          <t xml:space="preserve">
</t>
        </r>
      </text>
    </comment>
    <comment ref="C13" authorId="1" shapeId="0" xr:uid="{00000000-0006-0000-1000-000007000000}">
      <text>
        <r>
          <rPr>
            <b/>
            <sz val="9"/>
            <color indexed="81"/>
            <rFont val="Tahoma"/>
            <family val="2"/>
          </rPr>
          <t>Azoto do solo</t>
        </r>
        <r>
          <rPr>
            <sz val="9"/>
            <color indexed="81"/>
            <rFont val="Tahoma"/>
            <family val="2"/>
          </rPr>
          <t xml:space="preserve">
</t>
        </r>
      </text>
    </comment>
    <comment ref="D13" authorId="1" shapeId="0" xr:uid="{00000000-0006-0000-1000-000008000000}">
      <text>
        <r>
          <rPr>
            <b/>
            <sz val="9"/>
            <color indexed="81"/>
            <rFont val="Tahoma"/>
            <family val="2"/>
          </rPr>
          <t>Fósforo do solo</t>
        </r>
        <r>
          <rPr>
            <sz val="9"/>
            <color indexed="81"/>
            <rFont val="Tahoma"/>
            <family val="2"/>
          </rPr>
          <t xml:space="preserve">
</t>
        </r>
      </text>
    </comment>
    <comment ref="E13" authorId="1" shapeId="0" xr:uid="{00000000-0006-0000-1000-000009000000}">
      <text>
        <r>
          <rPr>
            <b/>
            <sz val="9"/>
            <color indexed="81"/>
            <rFont val="Tahoma"/>
            <family val="2"/>
          </rPr>
          <t>Potássio do solo</t>
        </r>
        <r>
          <rPr>
            <sz val="9"/>
            <color indexed="81"/>
            <rFont val="Tahoma"/>
            <family val="2"/>
          </rPr>
          <t xml:space="preserve">
</t>
        </r>
      </text>
    </comment>
    <comment ref="F13" authorId="1" shapeId="0" xr:uid="{00000000-0006-0000-1000-00000A000000}">
      <text>
        <r>
          <rPr>
            <b/>
            <sz val="9"/>
            <color indexed="81"/>
            <rFont val="Tahoma"/>
            <family val="2"/>
          </rPr>
          <t>Magnésio do solo</t>
        </r>
      </text>
    </comment>
    <comment ref="G13" authorId="1" shapeId="0" xr:uid="{00000000-0006-0000-1000-00000B000000}">
      <text>
        <r>
          <rPr>
            <b/>
            <sz val="9"/>
            <color indexed="81"/>
            <rFont val="Tahoma"/>
            <family val="2"/>
          </rPr>
          <t>Preencher apenas quando o boletim de análises apresenta dados sobre outros elementos, que vão ser considerados na elaboração do plano de fertilização.</t>
        </r>
        <r>
          <rPr>
            <sz val="9"/>
            <color indexed="81"/>
            <rFont val="Tahoma"/>
            <family val="2"/>
          </rPr>
          <t xml:space="preserve">
</t>
        </r>
      </text>
    </comment>
    <comment ref="H13" authorId="1" shapeId="0" xr:uid="{00000000-0006-0000-1000-00000C000000}">
      <text>
        <r>
          <rPr>
            <b/>
            <sz val="9"/>
            <color indexed="81"/>
            <rFont val="Tahoma"/>
            <family val="2"/>
          </rPr>
          <t>Preencher apenas quando o boletim de análises apresenta dados sobre outros elementos, que vão ser considerados na elaboração do plano de fertilização.</t>
        </r>
        <r>
          <rPr>
            <sz val="9"/>
            <color indexed="81"/>
            <rFont val="Tahoma"/>
            <family val="2"/>
          </rPr>
          <t xml:space="preserve">
</t>
        </r>
      </text>
    </comment>
    <comment ref="I13" authorId="1" shapeId="0" xr:uid="{00000000-0006-0000-1000-00000D000000}">
      <text>
        <r>
          <rPr>
            <b/>
            <sz val="9"/>
            <color indexed="81"/>
            <rFont val="Tahoma"/>
            <family val="2"/>
          </rPr>
          <t>pH do solo</t>
        </r>
        <r>
          <rPr>
            <sz val="9"/>
            <color indexed="81"/>
            <rFont val="Tahoma"/>
            <family val="2"/>
          </rPr>
          <t xml:space="preserve">
</t>
        </r>
      </text>
    </comment>
    <comment ref="J13" authorId="1" shapeId="0" xr:uid="{00000000-0006-0000-1000-00000E000000}">
      <text>
        <r>
          <rPr>
            <b/>
            <sz val="9"/>
            <color indexed="81"/>
            <rFont val="Tahoma"/>
            <family val="2"/>
          </rPr>
          <t>% de matéria orgânica do solo</t>
        </r>
        <r>
          <rPr>
            <sz val="9"/>
            <color indexed="81"/>
            <rFont val="Tahoma"/>
            <family val="2"/>
          </rPr>
          <t xml:space="preserve">
</t>
        </r>
      </text>
    </comment>
    <comment ref="B16" authorId="1" shapeId="0" xr:uid="{00000000-0006-0000-1000-00000F000000}">
      <text>
        <r>
          <rPr>
            <b/>
            <sz val="9"/>
            <color indexed="81"/>
            <rFont val="Tahoma"/>
            <family val="2"/>
          </rPr>
          <t>Registar a classe de fertilidade constante no boletim de análise para cada um dos nutrientes, caso faça parte do referido boletim.</t>
        </r>
        <r>
          <rPr>
            <sz val="9"/>
            <color indexed="81"/>
            <rFont val="Tahoma"/>
            <family val="2"/>
          </rPr>
          <t xml:space="preserve">
</t>
        </r>
      </text>
    </comment>
    <comment ref="C16" authorId="1" shapeId="0" xr:uid="{00000000-0006-0000-1000-000010000000}">
      <text>
        <r>
          <rPr>
            <b/>
            <sz val="9"/>
            <color indexed="81"/>
            <rFont val="Tahoma"/>
            <family val="2"/>
          </rPr>
          <t>Preencher campo com uma das seguintes classes:
MA - Muito Alto;
A - Alto;
M - Médio;
B - Baixo;
MB - Muito Baixo.</t>
        </r>
      </text>
    </comment>
    <comment ref="D16" authorId="1" shapeId="0" xr:uid="{00000000-0006-0000-1000-000011000000}">
      <text>
        <r>
          <rPr>
            <b/>
            <sz val="9"/>
            <color indexed="81"/>
            <rFont val="Tahoma"/>
            <family val="2"/>
          </rPr>
          <t>Preencher campo com uma das seguintes classes:
MA - Muito Alto;
A - Alto;
M - Médio;
B - Baixo;
MB - Muito Baixo.</t>
        </r>
        <r>
          <rPr>
            <sz val="9"/>
            <color indexed="81"/>
            <rFont val="Tahoma"/>
            <family val="2"/>
          </rPr>
          <t xml:space="preserve">
</t>
        </r>
      </text>
    </comment>
    <comment ref="E16" authorId="1" shapeId="0" xr:uid="{00000000-0006-0000-1000-000012000000}">
      <text>
        <r>
          <rPr>
            <b/>
            <sz val="9"/>
            <color indexed="81"/>
            <rFont val="Tahoma"/>
            <family val="2"/>
          </rPr>
          <t>Preencher campo com uma das seguintes classes:
MA - Muito Alto;
A - Alto;
M - Médio;
B - Baixo;
MB - Muito Baixo.</t>
        </r>
        <r>
          <rPr>
            <sz val="9"/>
            <color indexed="81"/>
            <rFont val="Tahoma"/>
            <family val="2"/>
          </rPr>
          <t xml:space="preserve">
</t>
        </r>
      </text>
    </comment>
    <comment ref="F16" authorId="1" shapeId="0" xr:uid="{00000000-0006-0000-1000-000013000000}">
      <text>
        <r>
          <rPr>
            <b/>
            <sz val="9"/>
            <color indexed="81"/>
            <rFont val="Tahoma"/>
            <family val="2"/>
          </rPr>
          <t>Preencher campo com uma das seguintes classes:
MA - Muito Alto;
A - Alto;
M - Médio;
B - Baixo;
MB - Muito Baixo.</t>
        </r>
        <r>
          <rPr>
            <sz val="9"/>
            <color indexed="81"/>
            <rFont val="Tahoma"/>
            <family val="2"/>
          </rPr>
          <t xml:space="preserve">
</t>
        </r>
      </text>
    </comment>
    <comment ref="G16" authorId="1" shapeId="0" xr:uid="{00000000-0006-0000-1000-000014000000}">
      <text>
        <r>
          <rPr>
            <b/>
            <sz val="9"/>
            <color indexed="81"/>
            <rFont val="Tahoma"/>
            <family val="2"/>
          </rPr>
          <t>Preencher campo com uma das seguintes classes, caso se aplique:
MA - Muito Alto;
A - Alto;
M - Médio;
B - Baixo;
MB - Muito Baixo.</t>
        </r>
      </text>
    </comment>
    <comment ref="H16" authorId="1" shapeId="0" xr:uid="{00000000-0006-0000-1000-000015000000}">
      <text>
        <r>
          <rPr>
            <b/>
            <sz val="9"/>
            <color indexed="81"/>
            <rFont val="Tahoma"/>
            <family val="2"/>
          </rPr>
          <t>Preencher campo com uma das seguintes classes, caso se aplique:
MA - Muito Alto;
A - Alto;
M - Médio;
B - Baixo;
MB - Muito Baixo.</t>
        </r>
        <r>
          <rPr>
            <sz val="9"/>
            <color indexed="81"/>
            <rFont val="Tahoma"/>
            <family val="2"/>
          </rPr>
          <t xml:space="preserve">
</t>
        </r>
      </text>
    </comment>
    <comment ref="J16" authorId="1" shapeId="0" xr:uid="{00000000-0006-0000-1000-000016000000}">
      <text>
        <r>
          <rPr>
            <b/>
            <sz val="9"/>
            <color indexed="81"/>
            <rFont val="Tahoma"/>
            <family val="2"/>
          </rPr>
          <t>Preencher campo com uma das seguintes classes:
MA - Muito Alto;
A - Alto;
M - Médio;
B - Baixo;
MB - Muito Baixo.</t>
        </r>
        <r>
          <rPr>
            <sz val="9"/>
            <color indexed="81"/>
            <rFont val="Tahoma"/>
            <family val="2"/>
          </rPr>
          <t xml:space="preserve">
</t>
        </r>
      </text>
    </comment>
    <comment ref="A17" authorId="1" shapeId="0" xr:uid="{00000000-0006-0000-1000-000017000000}">
      <text>
        <r>
          <rPr>
            <b/>
            <sz val="9"/>
            <color indexed="81"/>
            <rFont val="Tahoma"/>
            <family val="2"/>
          </rPr>
          <t>Preenchimento referente ao elemento N (azoto)</t>
        </r>
      </text>
    </comment>
    <comment ref="C17" authorId="1" shapeId="0" xr:uid="{00000000-0006-0000-1000-000018000000}">
      <text>
        <r>
          <rPr>
            <b/>
            <sz val="9"/>
            <color indexed="81"/>
            <rFont val="Tahoma"/>
            <family val="2"/>
          </rPr>
          <t xml:space="preserve">Parcela usada no cálculo automático do campo «previsão total de nutrientes a disponibilizar à cultura» do quadro 3 - Plano de aplicação, para o azoto (N).
Inserir o resultado da aplicação dos valores de azoto previstos no Anexo VI da Portaria n.º 295/2012 ou no Quadro 1 da GPP/OT/2023/3 - Instrucoes Caderno Campo em função dos resultados das análises de terras (pág.17). </t>
        </r>
      </text>
    </comment>
    <comment ref="F19" authorId="1" shapeId="0" xr:uid="{00000000-0006-0000-1000-000019000000}">
      <text>
        <r>
          <rPr>
            <b/>
            <sz val="9"/>
            <color indexed="81"/>
            <rFont val="Tahoma"/>
            <family val="2"/>
          </rPr>
          <t>Preencher com "X" caso seja esta a forma de azoto avaliada.</t>
        </r>
        <r>
          <rPr>
            <sz val="9"/>
            <color indexed="81"/>
            <rFont val="Tahoma"/>
            <family val="2"/>
          </rPr>
          <t xml:space="preserve">
</t>
        </r>
      </text>
    </comment>
    <comment ref="H19" authorId="1" shapeId="0" xr:uid="{00000000-0006-0000-1000-00001A000000}">
      <text>
        <r>
          <rPr>
            <b/>
            <sz val="9"/>
            <color indexed="81"/>
            <rFont val="Tahoma"/>
            <family val="2"/>
          </rPr>
          <t>Preencher com "X" caso seja esta a forma de azoto avaliada.</t>
        </r>
        <r>
          <rPr>
            <sz val="9"/>
            <color indexed="81"/>
            <rFont val="Tahoma"/>
            <family val="2"/>
          </rPr>
          <t xml:space="preserve">
</t>
        </r>
      </text>
    </comment>
    <comment ref="J19" authorId="1" shapeId="0" xr:uid="{00000000-0006-0000-1000-00001B000000}">
      <text>
        <r>
          <rPr>
            <b/>
            <sz val="9"/>
            <color indexed="81"/>
            <rFont val="Tahoma"/>
            <family val="2"/>
          </rPr>
          <t>Preencher com "X" caso seja esta a forma de azoto avaliada.</t>
        </r>
        <r>
          <rPr>
            <sz val="9"/>
            <color indexed="81"/>
            <rFont val="Tahoma"/>
            <family val="2"/>
          </rPr>
          <t xml:space="preserve">
</t>
        </r>
      </text>
    </comment>
    <comment ref="A23" authorId="1" shapeId="0" xr:uid="{00000000-0006-0000-1000-00001C000000}">
      <text>
        <r>
          <rPr>
            <b/>
            <sz val="9"/>
            <color indexed="81"/>
            <rFont val="Tahoma"/>
            <family val="2"/>
          </rPr>
          <t>Os boletins de análise devem ser mantidos pelo beneficiário por forma a serem consultados sempre que necessário pelas entidades que monitorizam, verificam a aplicação da legislação nacional aplicável no âmbito da gestão de nutrientes disponibilizados às culturas.</t>
        </r>
      </text>
    </comment>
    <comment ref="A30" authorId="1" shapeId="0" xr:uid="{00000000-0006-0000-1000-00001D000000}">
      <text>
        <r>
          <rPr>
            <b/>
            <sz val="9"/>
            <color indexed="81"/>
            <rFont val="Tahoma"/>
            <family val="2"/>
          </rPr>
          <t>Todos os campos deste quadro são de preenchimento obrigatório.</t>
        </r>
      </text>
    </comment>
    <comment ref="C30" authorId="1" shapeId="0" xr:uid="{00000000-0006-0000-1000-00001E000000}">
      <text>
        <r>
          <rPr>
            <b/>
            <sz val="9"/>
            <color indexed="81"/>
            <rFont val="Tahoma"/>
            <family val="2"/>
          </rPr>
          <t>Azoto sob a forma de nitrato (NO3)</t>
        </r>
        <r>
          <rPr>
            <sz val="9"/>
            <color indexed="81"/>
            <rFont val="Tahoma"/>
            <family val="2"/>
          </rPr>
          <t xml:space="preserve">
</t>
        </r>
      </text>
    </comment>
    <comment ref="D30" authorId="1" shapeId="0" xr:uid="{00000000-0006-0000-1000-00001F000000}">
      <text>
        <r>
          <rPr>
            <b/>
            <sz val="9"/>
            <color indexed="81"/>
            <rFont val="Tahoma"/>
            <family val="2"/>
          </rPr>
          <t>Fósforo</t>
        </r>
        <r>
          <rPr>
            <sz val="9"/>
            <color indexed="81"/>
            <rFont val="Tahoma"/>
            <family val="2"/>
          </rPr>
          <t xml:space="preserve">
</t>
        </r>
      </text>
    </comment>
    <comment ref="E30" authorId="1" shapeId="0" xr:uid="{00000000-0006-0000-1000-000020000000}">
      <text>
        <r>
          <rPr>
            <b/>
            <sz val="9"/>
            <color indexed="81"/>
            <rFont val="Tahoma"/>
            <family val="2"/>
          </rPr>
          <t xml:space="preserve">Potássio
</t>
        </r>
      </text>
    </comment>
    <comment ref="F30" authorId="1" shapeId="0" xr:uid="{00000000-0006-0000-1000-000021000000}">
      <text>
        <r>
          <rPr>
            <b/>
            <sz val="9"/>
            <color indexed="81"/>
            <rFont val="Tahoma"/>
            <family val="2"/>
          </rPr>
          <t>Magnésio</t>
        </r>
      </text>
    </comment>
    <comment ref="H30" authorId="1" shapeId="0" xr:uid="{00000000-0006-0000-1000-000022000000}">
      <text>
        <r>
          <rPr>
            <b/>
            <sz val="9"/>
            <color indexed="81"/>
            <rFont val="Tahoma"/>
            <family val="2"/>
          </rPr>
          <t>Boro</t>
        </r>
      </text>
    </comment>
    <comment ref="I30" authorId="1" shapeId="0" xr:uid="{00000000-0006-0000-1000-000023000000}">
      <text>
        <r>
          <rPr>
            <b/>
            <sz val="9"/>
            <color indexed="81"/>
            <rFont val="Tahoma"/>
            <family val="2"/>
          </rPr>
          <t>Cálcio</t>
        </r>
      </text>
    </comment>
    <comment ref="K30" authorId="1" shapeId="0" xr:uid="{00000000-0006-0000-1000-000024000000}">
      <text>
        <r>
          <rPr>
            <b/>
            <sz val="9"/>
            <color indexed="81"/>
            <rFont val="Tahoma"/>
            <family val="2"/>
          </rPr>
          <t xml:space="preserve">Sódio </t>
        </r>
      </text>
    </comment>
    <comment ref="M30" authorId="1" shapeId="0" xr:uid="{00000000-0006-0000-1000-000025000000}">
      <text>
        <r>
          <rPr>
            <b/>
            <sz val="9"/>
            <color indexed="81"/>
            <rFont val="Tahoma"/>
            <family val="2"/>
          </rPr>
          <t>Condutividade elétrica.</t>
        </r>
      </text>
    </comment>
    <comment ref="A32" authorId="1" shapeId="0" xr:uid="{00000000-0006-0000-1000-000026000000}">
      <text>
        <r>
          <rPr>
            <b/>
            <sz val="9"/>
            <color indexed="81"/>
            <rFont val="Tahoma"/>
            <family val="2"/>
          </rPr>
          <t>O preenchimento referente a cada um dos nutrientes, deve ser feito de acordo com os resultados constantes dos boletins de análise e o Manual de Fertilização das Culturas do INIAV.</t>
        </r>
      </text>
    </comment>
    <comment ref="C32" authorId="1" shapeId="0" xr:uid="{00000000-0006-0000-1000-000027000000}">
      <text>
        <r>
          <rPr>
            <b/>
            <sz val="9"/>
            <color indexed="81"/>
            <rFont val="Tahoma"/>
            <family val="2"/>
          </rPr>
          <t xml:space="preserve">Para determinar a quantidade de azoto fornecida pela água de rega, utilizar a seguinte fórmula:
</t>
        </r>
        <r>
          <rPr>
            <b/>
            <u/>
            <sz val="9"/>
            <color indexed="81"/>
            <rFont val="Tahoma"/>
            <family val="2"/>
          </rPr>
          <t xml:space="preserve">
Cultura do arroze e do agrião</t>
        </r>
        <r>
          <rPr>
            <b/>
            <sz val="9"/>
            <color indexed="81"/>
            <rFont val="Tahoma"/>
            <family val="2"/>
          </rPr>
          <t xml:space="preserve">
N=0,000226xTx0,40xVxF
N é a quantidade de azoto veiculada pela água, expressa em kg/ha;
T - é o teor médio de nitratos da água de rega, em mg/l de NO3;
V - é o volume total de água utilizada na rega, em m3/ha;
F - é um fator que depende da eficiência da rega (a água retida no canteiro é cerca de 30 a 60% do volume de água fornecido).
O fator 0,40 desta expressão corresponde à eficiência do azoto nítrico.
</t>
        </r>
        <r>
          <rPr>
            <b/>
            <u/>
            <sz val="9"/>
            <color indexed="81"/>
            <rFont val="Tahoma"/>
            <family val="2"/>
          </rPr>
          <t>Restantes culturas</t>
        </r>
        <r>
          <rPr>
            <b/>
            <sz val="9"/>
            <color indexed="81"/>
            <rFont val="Tahoma"/>
            <family val="2"/>
          </rPr>
          <t xml:space="preserve">
N=0,000226xTxVxF
N é a quantidade de azoto veículada pela água, expressa em kg/ha;
T - é o teor médio de nitratos da água de rega, em mg/l de NO3;
V - é o volume total de água utilizada na rega, em m3/ha;
f - é um fator que depende da eficiência da rega (em rega localizada deve rondar 0,90 a 0,95).
Nota: No âmbito da aplicação da Portaria n.º 259/2012, de 28 de agosto, a dedução de N só deverá ser efetuada a partir de 10 mg/l de nitratos, isto é, o N das águas de rega que apresentem teores iguais ou inferiores a 10 mg/l de NO3 não deve ser contabilizado.
O azoto veiculado pelo ácido nítrico que, eventualmente, seja adicionado à água de rega para baixar o valor do seu pH também deve ser contabilizado.</t>
        </r>
      </text>
    </comment>
    <comment ref="D32" authorId="1" shapeId="0" xr:uid="{00000000-0006-0000-1000-000028000000}">
      <text>
        <r>
          <rPr>
            <b/>
            <sz val="9"/>
            <color indexed="81"/>
            <rFont val="Tahoma"/>
            <family val="2"/>
          </rPr>
          <t>Para determinar a quantidade de fósforo fornecida pela água de rega, utilizar a seguinte fórmula:
P=0,001xTxVxF
P é a quantidade de fósforo veiculada pela água, expressa em kg/ha de P</t>
        </r>
        <r>
          <rPr>
            <b/>
            <vertAlign val="subscript"/>
            <sz val="9"/>
            <color indexed="81"/>
            <rFont val="Tahoma"/>
            <family val="2"/>
          </rPr>
          <t>2</t>
        </r>
        <r>
          <rPr>
            <b/>
            <sz val="9"/>
            <color indexed="81"/>
            <rFont val="Tahoma"/>
            <family val="2"/>
          </rPr>
          <t>O</t>
        </r>
        <r>
          <rPr>
            <b/>
            <vertAlign val="subscript"/>
            <sz val="9"/>
            <color indexed="81"/>
            <rFont val="Tahoma"/>
            <family val="2"/>
          </rPr>
          <t>5</t>
        </r>
        <r>
          <rPr>
            <b/>
            <sz val="9"/>
            <color indexed="81"/>
            <rFont val="Tahoma"/>
            <family val="2"/>
          </rPr>
          <t>;
T é o teor médio de fósforo total da água de rega, em mg/l de  P</t>
        </r>
        <r>
          <rPr>
            <b/>
            <vertAlign val="subscript"/>
            <sz val="9"/>
            <color indexed="81"/>
            <rFont val="Tahoma"/>
            <family val="2"/>
          </rPr>
          <t>2</t>
        </r>
        <r>
          <rPr>
            <b/>
            <sz val="9"/>
            <color indexed="81"/>
            <rFont val="Tahoma"/>
            <family val="2"/>
          </rPr>
          <t>O</t>
        </r>
        <r>
          <rPr>
            <b/>
            <vertAlign val="subscript"/>
            <sz val="9"/>
            <color indexed="81"/>
            <rFont val="Tahoma"/>
            <family val="2"/>
          </rPr>
          <t>5</t>
        </r>
        <r>
          <rPr>
            <b/>
            <sz val="9"/>
            <color indexed="81"/>
            <rFont val="Tahoma"/>
            <family val="2"/>
          </rPr>
          <t>;
V - é o volume total de água utilizada na rega, em m</t>
        </r>
        <r>
          <rPr>
            <b/>
            <vertAlign val="superscript"/>
            <sz val="9"/>
            <color indexed="81"/>
            <rFont val="Tahoma"/>
            <family val="2"/>
          </rPr>
          <t>3</t>
        </r>
        <r>
          <rPr>
            <b/>
            <sz val="9"/>
            <color indexed="81"/>
            <rFont val="Tahoma"/>
            <family val="2"/>
          </rPr>
          <t xml:space="preserve">/ha;
F - é um fator que depende da eficiência da rega (em rega localizada deve rondar 0,90 a 0,95).
O fósforo veiculado pelo ácido fósfórico que, eventualmente, seja adicionado à água de rega para baixar o valor do seu pH também deve ser contabilizado. </t>
        </r>
        <r>
          <rPr>
            <sz val="9"/>
            <color indexed="81"/>
            <rFont val="Tahoma"/>
            <family val="2"/>
          </rPr>
          <t xml:space="preserve">
</t>
        </r>
      </text>
    </comment>
    <comment ref="F34" authorId="1" shapeId="0" xr:uid="{00000000-0006-0000-1000-000029000000}">
      <text>
        <r>
          <rPr>
            <b/>
            <sz val="9"/>
            <color indexed="81"/>
            <rFont val="Tahoma"/>
            <family val="2"/>
          </rPr>
          <t>Preencher com "X" caso a avaliação do teor de potássio na água de rega tenha sido expressa em K.</t>
        </r>
      </text>
    </comment>
    <comment ref="H34" authorId="1" shapeId="0" xr:uid="{00000000-0006-0000-1000-00002A000000}">
      <text>
        <r>
          <rPr>
            <b/>
            <sz val="9"/>
            <color indexed="81"/>
            <rFont val="Tahoma"/>
            <family val="2"/>
          </rPr>
          <t>Preencher com "X" caso a avaliação do teor de potássio na água de rega tenha sido expressa em K2O.</t>
        </r>
      </text>
    </comment>
    <comment ref="A39" authorId="1" shapeId="0" xr:uid="{00000000-0006-0000-1000-00002B000000}">
      <text>
        <r>
          <rPr>
            <b/>
            <sz val="9"/>
            <color indexed="81"/>
            <rFont val="Tahoma"/>
            <family val="2"/>
          </rPr>
          <t>Preenchimento obrigatório para os beneficiários candidatos ao regime ecológico A.3.2 - PRODI. Estes valores servirão de auxilio para o preenchimento do campo «Nutrientes disponibilizados por tipo de fertilizantes» do quadro 3 - Plano de Aplicação.
Os boletins de análise devem ser apresentados sempre que forem solicitados pelos técnicos que monitorizam as intervenções no âmbito do PEPAC.</t>
        </r>
        <r>
          <rPr>
            <sz val="9"/>
            <color indexed="81"/>
            <rFont val="Tahoma"/>
            <family val="2"/>
          </rPr>
          <t xml:space="preserve">
</t>
        </r>
      </text>
    </comment>
    <comment ref="C41" authorId="1" shapeId="0" xr:uid="{00000000-0006-0000-1000-00002C000000}">
      <text>
        <r>
          <rPr>
            <b/>
            <sz val="9"/>
            <color indexed="81"/>
            <rFont val="Tahoma"/>
            <family val="2"/>
          </rPr>
          <t>Azoto</t>
        </r>
        <r>
          <rPr>
            <sz val="9"/>
            <color indexed="81"/>
            <rFont val="Tahoma"/>
            <family val="2"/>
          </rPr>
          <t xml:space="preserve">
</t>
        </r>
      </text>
    </comment>
    <comment ref="D41" authorId="1" shapeId="0" xr:uid="{00000000-0006-0000-1000-00002D000000}">
      <text>
        <r>
          <rPr>
            <b/>
            <sz val="9"/>
            <color indexed="81"/>
            <rFont val="Tahoma"/>
            <family val="2"/>
          </rPr>
          <t>Fósforo</t>
        </r>
        <r>
          <rPr>
            <sz val="9"/>
            <color indexed="81"/>
            <rFont val="Tahoma"/>
            <family val="2"/>
          </rPr>
          <t xml:space="preserve">
</t>
        </r>
      </text>
    </comment>
    <comment ref="E41" authorId="1" shapeId="0" xr:uid="{00000000-0006-0000-1000-00002E000000}">
      <text>
        <r>
          <rPr>
            <b/>
            <sz val="9"/>
            <color indexed="81"/>
            <rFont val="Tahoma"/>
            <family val="2"/>
          </rPr>
          <t>Potássio</t>
        </r>
        <r>
          <rPr>
            <sz val="9"/>
            <color indexed="81"/>
            <rFont val="Tahoma"/>
            <family val="2"/>
          </rPr>
          <t xml:space="preserve">
</t>
        </r>
      </text>
    </comment>
    <comment ref="F41" authorId="1" shapeId="0" xr:uid="{00000000-0006-0000-1000-00002F000000}">
      <text>
        <r>
          <rPr>
            <b/>
            <sz val="9"/>
            <color indexed="81"/>
            <rFont val="Tahoma"/>
            <family val="2"/>
          </rPr>
          <t>Cálcio</t>
        </r>
        <r>
          <rPr>
            <sz val="9"/>
            <color indexed="81"/>
            <rFont val="Tahoma"/>
            <family val="2"/>
          </rPr>
          <t xml:space="preserve">
</t>
        </r>
      </text>
    </comment>
    <comment ref="G41" authorId="1" shapeId="0" xr:uid="{00000000-0006-0000-1000-000030000000}">
      <text>
        <r>
          <rPr>
            <b/>
            <sz val="9"/>
            <color indexed="81"/>
            <rFont val="Tahoma"/>
            <family val="2"/>
          </rPr>
          <t>Magnésio</t>
        </r>
      </text>
    </comment>
    <comment ref="H41" authorId="1" shapeId="0" xr:uid="{00000000-0006-0000-1000-000031000000}">
      <text>
        <r>
          <rPr>
            <b/>
            <sz val="9"/>
            <color indexed="81"/>
            <rFont val="Tahoma"/>
            <family val="2"/>
          </rPr>
          <t>Enxofre</t>
        </r>
      </text>
    </comment>
    <comment ref="I41" authorId="1" shapeId="0" xr:uid="{00000000-0006-0000-1000-000032000000}">
      <text>
        <r>
          <rPr>
            <b/>
            <sz val="9"/>
            <color indexed="81"/>
            <rFont val="Tahoma"/>
            <family val="2"/>
          </rPr>
          <t>Ferro.</t>
        </r>
      </text>
    </comment>
    <comment ref="J41" authorId="1" shapeId="0" xr:uid="{00000000-0006-0000-1000-000033000000}">
      <text>
        <r>
          <rPr>
            <b/>
            <sz val="9"/>
            <color indexed="81"/>
            <rFont val="Tahoma"/>
            <family val="2"/>
          </rPr>
          <t>Manganês</t>
        </r>
        <r>
          <rPr>
            <sz val="9"/>
            <color indexed="81"/>
            <rFont val="Tahoma"/>
            <family val="2"/>
          </rPr>
          <t xml:space="preserve">
</t>
        </r>
      </text>
    </comment>
    <comment ref="K41" authorId="1" shapeId="0" xr:uid="{00000000-0006-0000-1000-000034000000}">
      <text>
        <r>
          <rPr>
            <b/>
            <sz val="9"/>
            <color indexed="81"/>
            <rFont val="Tahoma"/>
            <family val="2"/>
          </rPr>
          <t>Zinco</t>
        </r>
      </text>
    </comment>
    <comment ref="L41" authorId="1" shapeId="0" xr:uid="{00000000-0006-0000-1000-000035000000}">
      <text>
        <r>
          <rPr>
            <b/>
            <sz val="9"/>
            <color indexed="81"/>
            <rFont val="Tahoma"/>
            <family val="2"/>
          </rPr>
          <t>Cobre</t>
        </r>
      </text>
    </comment>
    <comment ref="M41" authorId="1" shapeId="0" xr:uid="{00000000-0006-0000-1000-000036000000}">
      <text>
        <r>
          <rPr>
            <b/>
            <sz val="9"/>
            <color indexed="81"/>
            <rFont val="Tahoma"/>
            <family val="2"/>
          </rPr>
          <t>Boro</t>
        </r>
      </text>
    </comment>
    <comment ref="C43" authorId="1" shapeId="0" xr:uid="{00000000-0006-0000-1000-000037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D43" authorId="1" shapeId="0" xr:uid="{00000000-0006-0000-1000-000038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E43" authorId="1" shapeId="0" xr:uid="{00000000-0006-0000-1000-000039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F43" authorId="1" shapeId="0" xr:uid="{00000000-0006-0000-1000-00003A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G43" authorId="1" shapeId="0" xr:uid="{00000000-0006-0000-1000-00003B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H43" authorId="1" shapeId="0" xr:uid="{00000000-0006-0000-1000-00003C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I43" authorId="1" shapeId="0" xr:uid="{00000000-0006-0000-1000-00003D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J43" authorId="1" shapeId="0" xr:uid="{00000000-0006-0000-1000-00003E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K43" authorId="1" shapeId="0" xr:uid="{00000000-0006-0000-1000-00003F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L43" authorId="1" shapeId="0" xr:uid="{00000000-0006-0000-1000-000040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M43" authorId="1" shapeId="0" xr:uid="{00000000-0006-0000-1000-000041000000}">
      <text>
        <r>
          <rPr>
            <b/>
            <sz val="9"/>
            <color indexed="81"/>
            <rFont val="Tahoma"/>
            <family val="2"/>
          </rPr>
          <t>Preencher campo com uma das seguintes classificações:
I - Insuficiente;
S - Suficiente;
E - Elevado.</t>
        </r>
        <r>
          <rPr>
            <sz val="9"/>
            <color indexed="81"/>
            <rFont val="Tahoma"/>
            <family val="2"/>
          </rPr>
          <t xml:space="preserve">
</t>
        </r>
      </text>
    </comment>
    <comment ref="A80" authorId="1" shapeId="0" xr:uid="{00000000-0006-0000-1000-000042000000}">
      <text>
        <r>
          <rPr>
            <b/>
            <sz val="9"/>
            <color indexed="81"/>
            <rFont val="Tahoma"/>
            <family val="2"/>
          </rPr>
          <t>Preenchimento obrigatório apenas nos casos em que o beneficiário pretender recorrer á fertilização orgânica. Estes valores servirão de auxilio para o preenchimento do campo «Nutrientes disponibilizados por tipo de fertilizantes» do quadro 3 - Plano de Aplicação.
No caso do beneficiário ter efetuado análises, os boletins de análise devem ser mantidos pelo beneficiário por forma a serem consultados sempre que necessário pelas entidades que monitorizam, verificam a aplicação da legislação nacional aplicável no âmbito da gestão de nutrientes disponibilizados às culturas.
Apesar de não ser um quadro de preenchimento obrigatório para as restantes intervenções do PEPAC, o beneficiário poderá, sempre que assim o desejar, utilizar o quadro 1.2 para apoio dos cálculos de fertilização quando aplicar efluentes pecuários ou os seus derivados.</t>
        </r>
      </text>
    </comment>
    <comment ref="B82" authorId="1" shapeId="0" xr:uid="{00000000-0006-0000-1000-000043000000}">
      <text>
        <r>
          <rPr>
            <b/>
            <sz val="9"/>
            <color indexed="81"/>
            <rFont val="Tahoma"/>
            <family val="2"/>
          </rPr>
          <t>Preenchimento obrigatório apenas no caso de o beneficiário utilizar «estrume» ou «chorume».
Admite os seguintes valores:
- Bovino;
- Suíno;
- Ovino;
- Caprino;
- Equino;
- Aves;
- Outras espécies pecuárias.</t>
        </r>
      </text>
    </comment>
    <comment ref="C82" authorId="1" shapeId="0" xr:uid="{00000000-0006-0000-1000-000044000000}">
      <text>
        <r>
          <rPr>
            <b/>
            <sz val="9"/>
            <color indexed="81"/>
            <rFont val="Tahoma"/>
            <family val="2"/>
          </rPr>
          <t>Quando não tiverem sido efetuadas análises da  composição em nutrientes, devem ser utilizados os valores de referência para a forma disponível dos nutrientes indicados no Quadro 17 do Manual de Fertilização das Culturas do INIAV ou no Anexo VII do Código de Boas Práticas Agrícolas de 2018.
Quando apenas se dispõe dos valores de azoto total, devem considerar-se as percentagens de azoto disponível ao longo dos anos constantes no Quadro 18 do Manual de Fertilização das Culturas do INIAV (2022).
No cálculo dos valores dos nutrientes na forma disponível ter em conta, ainda, o período que as culturas ocupam efetivamente no terreno: para as culturas de primavera-verão, considerar 1/3 daqueles valores; para os cereais de outono-inverno, considerar 3/4 ou 1/2; para pastagens, considerar aqueles valores na totalidade, conforme indicado no Código de Boas Práticas Agrícolas de 2018.</t>
        </r>
      </text>
    </comment>
    <comment ref="C83" authorId="1" shapeId="0" xr:uid="{00000000-0006-0000-1000-000045000000}">
      <text>
        <r>
          <rPr>
            <b/>
            <sz val="9"/>
            <color indexed="81"/>
            <rFont val="Tahoma"/>
            <family val="2"/>
          </rPr>
          <t>Azoto</t>
        </r>
        <r>
          <rPr>
            <sz val="9"/>
            <color indexed="81"/>
            <rFont val="Tahoma"/>
            <family val="2"/>
          </rPr>
          <t xml:space="preserve">
</t>
        </r>
      </text>
    </comment>
    <comment ref="D83" authorId="1" shapeId="0" xr:uid="{00000000-0006-0000-1000-000046000000}">
      <text>
        <r>
          <rPr>
            <b/>
            <sz val="9"/>
            <color indexed="81"/>
            <rFont val="Tahoma"/>
            <family val="2"/>
          </rPr>
          <t>Fósforo</t>
        </r>
        <r>
          <rPr>
            <sz val="9"/>
            <color indexed="81"/>
            <rFont val="Tahoma"/>
            <family val="2"/>
          </rPr>
          <t xml:space="preserve">
</t>
        </r>
      </text>
    </comment>
    <comment ref="E83" authorId="1" shapeId="0" xr:uid="{00000000-0006-0000-1000-000047000000}">
      <text>
        <r>
          <rPr>
            <b/>
            <sz val="9"/>
            <color indexed="81"/>
            <rFont val="Tahoma"/>
            <family val="2"/>
          </rPr>
          <t>Potássio</t>
        </r>
        <r>
          <rPr>
            <sz val="9"/>
            <color indexed="81"/>
            <rFont val="Tahoma"/>
            <family val="2"/>
          </rPr>
          <t xml:space="preserve">
</t>
        </r>
      </text>
    </comment>
    <comment ref="A101" authorId="1" shapeId="0" xr:uid="{00000000-0006-0000-1000-000048000000}">
      <text>
        <r>
          <rPr>
            <b/>
            <sz val="9"/>
            <color indexed="81"/>
            <rFont val="Tahoma"/>
            <family val="2"/>
          </rPr>
          <t>Campo de preenchimento "livre".
Registar o fertilizante orgânico a ser utilizado quando este não se enquadra nos tipos de fertilizantes orgânicos previstos nas linhas acima.</t>
        </r>
        <r>
          <rPr>
            <sz val="9"/>
            <color indexed="81"/>
            <rFont val="Tahoma"/>
            <family val="2"/>
          </rPr>
          <t xml:space="preserve">
</t>
        </r>
      </text>
    </comment>
    <comment ref="A104" authorId="1" shapeId="0" xr:uid="{00000000-0006-0000-1000-000049000000}">
      <text>
        <r>
          <rPr>
            <b/>
            <sz val="9"/>
            <color indexed="81"/>
            <rFont val="Tahoma"/>
            <family val="2"/>
          </rPr>
          <t>Assinalar com uma "X" o campo correspondente à origem dos dados</t>
        </r>
        <r>
          <rPr>
            <sz val="9"/>
            <color indexed="81"/>
            <rFont val="Tahoma"/>
            <family val="2"/>
          </rPr>
          <t xml:space="preserve">
</t>
        </r>
      </text>
    </comment>
    <comment ref="D106" authorId="1" shapeId="0" xr:uid="{00000000-0006-0000-1000-00004A000000}">
      <text>
        <r>
          <rPr>
            <b/>
            <sz val="9"/>
            <color indexed="81"/>
            <rFont val="Tahoma"/>
            <family val="2"/>
          </rPr>
          <t>No caso do beneficiário optar pela análise laboratorial para determinação da composição dos corretivos orgânicos que pretende aplicar, recomenda-se o procedimento constante das normas de colheita de amostras de corretivos orgânicos do Anexo IV do" Manual de fertilização das culturas" do INIAV.</t>
        </r>
      </text>
    </comment>
    <comment ref="A109" authorId="1" shapeId="0" xr:uid="{00000000-0006-0000-1000-00004B000000}">
      <text>
        <r>
          <rPr>
            <b/>
            <sz val="9"/>
            <color indexed="81"/>
            <rFont val="Tahoma"/>
            <family val="2"/>
          </rPr>
          <t>No caso do beneficiário ter efetuado análises, os boletins de análise devem ser mantidos pelo beneficiário por forma a serem consultados sempre que necessário pelas entidades que monitorizam, verificam a aplicação da legislação nacional aplicável no âmbito da gestão de nutrientes disponibilizados às culturas.</t>
        </r>
        <r>
          <rPr>
            <sz val="9"/>
            <color indexed="81"/>
            <rFont val="Tahoma"/>
            <family val="2"/>
          </rPr>
          <t xml:space="preserve">
</t>
        </r>
      </text>
    </comment>
    <comment ref="B114" authorId="1" shapeId="0" xr:uid="{00000000-0006-0000-1000-00004C000000}">
      <text>
        <r>
          <rPr>
            <b/>
            <sz val="9"/>
            <color indexed="81"/>
            <rFont val="Tahoma"/>
            <family val="2"/>
          </rPr>
          <t>Matéria seca da cultura de cobertura para adubação verde. Este teor aumenta ao longo do ciclo de vida das plantas.
Valores indicativos:
leguminosas - 12% a 23%; gramíneas - 13% a 26%; brássicas - 12% a 18%</t>
        </r>
        <r>
          <rPr>
            <sz val="9"/>
            <color indexed="81"/>
            <rFont val="Tahoma"/>
            <family val="2"/>
          </rPr>
          <t xml:space="preserve">
</t>
        </r>
      </text>
    </comment>
    <comment ref="D114" authorId="1" shapeId="0" xr:uid="{00000000-0006-0000-1000-00004D000000}">
      <text>
        <r>
          <rPr>
            <b/>
            <sz val="9"/>
            <color indexed="81"/>
            <rFont val="Tahoma"/>
            <family val="2"/>
          </rPr>
          <t>Resultado analítico ou consultar o Quadro 1 do  documento «Quantidade de Azoto Disponibilizada pela Adubação Verde», disponivel em «Documentos Diversos», https://www.gpp.pt/index.php/pepac/pepac-orientacoes-tecnicas.
Caso não se conheça o teor de azoto da cultura de cobertura, deve optar-se pelos valores  mais altos quando o corte se efetuar numa fase mais precoce do ciclo e pelos valores mais baixos para fases mais avançadas.</t>
        </r>
        <r>
          <rPr>
            <sz val="9"/>
            <color indexed="81"/>
            <rFont val="Tahoma"/>
            <family val="2"/>
          </rPr>
          <t xml:space="preserve">
</t>
        </r>
      </text>
    </comment>
    <comment ref="E114" authorId="1" shapeId="0" xr:uid="{00000000-0006-0000-1000-00004E000000}">
      <text>
        <r>
          <rPr>
            <b/>
            <sz val="9"/>
            <color indexed="81"/>
            <rFont val="Tahoma"/>
            <family val="2"/>
          </rPr>
          <t>Consultar o Quadro 1 do  documento «Quantidade de Azoto Disponibilizada pela Adubação Verde», disponivel em «Documentos Diversos», https://www.gpp.pt/index.php/pepac/pepac-orientacoes-tecnicas .</t>
        </r>
        <r>
          <rPr>
            <sz val="9"/>
            <color indexed="81"/>
            <rFont val="Tahoma"/>
            <family val="2"/>
          </rPr>
          <t xml:space="preserve">
</t>
        </r>
      </text>
    </comment>
    <comment ref="F114" authorId="1" shapeId="0" xr:uid="{00000000-0006-0000-1000-00004F000000}">
      <text>
        <r>
          <rPr>
            <b/>
            <sz val="9"/>
            <color indexed="81"/>
            <rFont val="Tahoma"/>
            <family val="2"/>
          </rPr>
          <t>Parcela usada no cálculo automático do campo «previsão total de nutrientes a disponibilizar à cultura» do quadro 3 - Plano de aplicação em função dos resultados das análises ou dos valores tabelados em referência bibliográfica relativamente à composição da adubação verde efetuada.</t>
        </r>
        <r>
          <rPr>
            <sz val="9"/>
            <color indexed="81"/>
            <rFont val="Tahoma"/>
            <family val="2"/>
          </rPr>
          <t xml:space="preserve">
</t>
        </r>
      </text>
    </comment>
    <comment ref="A118" authorId="1" shapeId="0" xr:uid="{00000000-0006-0000-1000-000050000000}">
      <text>
        <r>
          <rPr>
            <b/>
            <sz val="9"/>
            <color indexed="81"/>
            <rFont val="Tahoma"/>
            <family val="2"/>
          </rPr>
          <t>Assinalar com uma X o campo correspondente à origem dos dados</t>
        </r>
      </text>
    </comment>
    <comment ref="A124" authorId="1" shapeId="0" xr:uid="{00000000-0006-0000-1000-000051000000}">
      <text>
        <r>
          <rPr>
            <b/>
            <sz val="9"/>
            <color indexed="81"/>
            <rFont val="Tahoma"/>
            <family val="2"/>
          </rPr>
          <t>O beneficiário deve preencher este campo com base nos valores do Quadro 2 do Anexo VI da portaria n.º 259/2012, de 28 de agosto Ou com base no Quadro 21 do Manual de Fertilização das Culturas do INIAV (2022).</t>
        </r>
        <r>
          <rPr>
            <sz val="9"/>
            <color indexed="81"/>
            <rFont val="Tahoma"/>
            <family val="2"/>
          </rPr>
          <t xml:space="preserve">
</t>
        </r>
      </text>
    </comment>
    <comment ref="A126" authorId="1" shapeId="0" xr:uid="{00000000-0006-0000-1000-000052000000}">
      <text>
        <r>
          <rPr>
            <b/>
            <sz val="9"/>
            <color indexed="81"/>
            <rFont val="Tahoma"/>
            <family val="2"/>
          </rPr>
          <t xml:space="preserve">Preencher de acordo com Portaria n.º259/2012_Programa de Ação - Anexo VI - Quadro 2 ou com o Quadro 21 do Manual de Fertilização das Culturas do INIAV (2022).
Precedente cultural                                            Azoto a adicionar (+) ou retirar (-) à recomendação 
Beterraba (folhas recolhidas) ……………………………………........... 0
Beterraba (folhas incorporadas) ............................................... -20
Cereais (palha recolhida) ........................................................... 0
Cereais (palha incorporada) ...................................................... 20
Couve-brócolo ......................................................................... -30
Couve-de-bruxelas ................................................................... -30
Couve-flor ............................................................................... -30
Prado temporário (2 ou mais anos) ........................................... -20
Prado luzerna .......................................................................... -40
Cultura intercalar - gramíneas ..................................... -1,5 kg de N/t matéria verde incorporada
Cultura intercalar - leguminosas .................................. -2,5 kg de N/t matéria verde incorporada
</t>
        </r>
      </text>
    </comment>
    <comment ref="A128" authorId="1" shapeId="0" xr:uid="{00000000-0006-0000-1000-000053000000}">
      <text>
        <r>
          <rPr>
            <b/>
            <sz val="9"/>
            <color indexed="81"/>
            <rFont val="Tahoma"/>
            <family val="2"/>
          </rPr>
          <t>O beneficiário deve preencher este campo no caso das pastagens que são objeto de pastoreio direto.</t>
        </r>
        <r>
          <rPr>
            <sz val="9"/>
            <color indexed="81"/>
            <rFont val="Tahoma"/>
            <family val="2"/>
          </rPr>
          <t xml:space="preserve">
</t>
        </r>
      </text>
    </comment>
    <comment ref="A130" authorId="1" shapeId="0" xr:uid="{00000000-0006-0000-1000-000054000000}">
      <text>
        <r>
          <rPr>
            <b/>
            <sz val="9"/>
            <color indexed="81"/>
            <rFont val="Tahoma"/>
            <family val="2"/>
          </rPr>
          <t>Identificar a espécie pecuária que pastoreia anualmente a pastagem a que diz respeito o presente plano de fertilização.
Deverão ser acrescentadas linhas ao presente quadro, no cas de não serem suficientes para registar o contributo do excreta do efetivo pecuário que pastoreia a pastagem.</t>
        </r>
      </text>
    </comment>
    <comment ref="B130" authorId="1" shapeId="0" xr:uid="{00000000-0006-0000-1000-000055000000}">
      <text>
        <r>
          <rPr>
            <b/>
            <sz val="9"/>
            <color indexed="81"/>
            <rFont val="Tahoma"/>
            <family val="2"/>
          </rPr>
          <t>Registar o n.º CN (cabeças normais) que pastoreiam anualmente a pastagem</t>
        </r>
        <r>
          <rPr>
            <sz val="9"/>
            <color indexed="81"/>
            <rFont val="Tahoma"/>
            <family val="2"/>
          </rPr>
          <t xml:space="preserve">
</t>
        </r>
      </text>
    </comment>
    <comment ref="C130" authorId="1" shapeId="0" xr:uid="{00000000-0006-0000-1000-000056000000}">
      <text>
        <r>
          <rPr>
            <b/>
            <sz val="9"/>
            <color indexed="81"/>
            <rFont val="Tahoma"/>
            <family val="2"/>
          </rPr>
          <t>Preencher de acordo com os valores de referência constantes no Anexo VI do Código das Boas Práticas Agrícolas.</t>
        </r>
        <r>
          <rPr>
            <sz val="9"/>
            <color indexed="81"/>
            <rFont val="Tahoma"/>
            <family val="2"/>
          </rPr>
          <t xml:space="preserve">
</t>
        </r>
      </text>
    </comment>
    <comment ref="D130" authorId="1" shapeId="0" xr:uid="{00000000-0006-0000-1000-000057000000}">
      <text>
        <r>
          <rPr>
            <b/>
            <sz val="9"/>
            <color indexed="81"/>
            <rFont val="Tahoma"/>
            <family val="2"/>
          </rPr>
          <t>Preencher de acordo com os valores de referência constantes no Anexo VI do Código das Boas Práticas Agrícolas.</t>
        </r>
        <r>
          <rPr>
            <sz val="9"/>
            <color indexed="81"/>
            <rFont val="Tahoma"/>
            <family val="2"/>
          </rPr>
          <t xml:space="preserve">
</t>
        </r>
      </text>
    </comment>
    <comment ref="E130" authorId="1" shapeId="0" xr:uid="{00000000-0006-0000-1000-000058000000}">
      <text>
        <r>
          <rPr>
            <b/>
            <sz val="9"/>
            <color indexed="81"/>
            <rFont val="Tahoma"/>
            <family val="2"/>
          </rPr>
          <t>Preencher de acordo com os valores de referência constantes no Anexo VI do Código das Boas Práticas Agrícolas.</t>
        </r>
        <r>
          <rPr>
            <sz val="9"/>
            <color indexed="81"/>
            <rFont val="Tahoma"/>
            <family val="2"/>
          </rPr>
          <t xml:space="preserve">
</t>
        </r>
      </text>
    </comment>
    <comment ref="F130" authorId="1" shapeId="0" xr:uid="{00000000-0006-0000-1000-000059000000}">
      <text>
        <r>
          <rPr>
            <b/>
            <sz val="9"/>
            <color indexed="81"/>
            <rFont val="Tahoma"/>
            <family val="2"/>
          </rPr>
          <t xml:space="preserve">Preencher com o resultado do produto do valor de referência para o Nx pelo n.º de CN.
N total/espécie= N.ºCN/ha x Valor ref N
</t>
        </r>
        <r>
          <rPr>
            <sz val="9"/>
            <color indexed="81"/>
            <rFont val="Tahoma"/>
            <family val="2"/>
          </rPr>
          <t xml:space="preserve">
</t>
        </r>
      </text>
    </comment>
    <comment ref="G130" authorId="1" shapeId="0" xr:uid="{00000000-0006-0000-1000-00005A000000}">
      <text>
        <r>
          <rPr>
            <b/>
            <sz val="9"/>
            <color indexed="81"/>
            <rFont val="Tahoma"/>
            <family val="2"/>
          </rPr>
          <t>Preencher com o resultado do produto do valor de referência para o P2O5x pelo n.º de CN.
P2O5 total/espécie= N.ºCN/ha x Valor ref P2O5</t>
        </r>
        <r>
          <rPr>
            <sz val="9"/>
            <color indexed="81"/>
            <rFont val="Tahoma"/>
            <family val="2"/>
          </rPr>
          <t xml:space="preserve">
</t>
        </r>
      </text>
    </comment>
    <comment ref="H130" authorId="1" shapeId="0" xr:uid="{00000000-0006-0000-1000-00005B000000}">
      <text>
        <r>
          <rPr>
            <b/>
            <sz val="9"/>
            <color indexed="81"/>
            <rFont val="Tahoma"/>
            <family val="2"/>
          </rPr>
          <t>Preencher com o resultado do produto do valor de referência para o K2Ox pelo n.º de CN.
K2O total/espécie= N.ºCN/ha x Valor ref K2O</t>
        </r>
        <r>
          <rPr>
            <sz val="9"/>
            <color indexed="81"/>
            <rFont val="Tahoma"/>
            <family val="2"/>
          </rPr>
          <t xml:space="preserve">
</t>
        </r>
      </text>
    </comment>
    <comment ref="E134" authorId="1" shapeId="0" xr:uid="{00000000-0006-0000-1000-00005C000000}">
      <text>
        <r>
          <rPr>
            <b/>
            <sz val="9"/>
            <color indexed="81"/>
            <rFont val="Tahoma"/>
            <family val="2"/>
          </rPr>
          <t>Preencher com o resultado da soma dos valores registados nas colunas «N total por espécie», «P2O5 total por espécie» e «K2O total por espécie».</t>
        </r>
      </text>
    </comment>
    <comment ref="C143" authorId="1" shapeId="0" xr:uid="{00000000-0006-0000-1000-00005D000000}">
      <text>
        <r>
          <rPr>
            <b/>
            <sz val="9"/>
            <color indexed="81"/>
            <rFont val="Tahoma"/>
            <family val="2"/>
          </rPr>
          <t>Azoto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Nas parcelas/zonas homogéneas localizadas em Zona Vulnerável, considerar os valores constantes no Anexo VIII da Portaria n.º 259/2012, de 28 de agosto.
No caso de ser feita fertirrega, as necessidades devem ser reduzidas entre 25%-30%</t>
        </r>
      </text>
    </comment>
    <comment ref="D143" authorId="1" shapeId="0" xr:uid="{00000000-0006-0000-1000-00005E000000}">
      <text>
        <r>
          <rPr>
            <b/>
            <sz val="9"/>
            <color indexed="81"/>
            <rFont val="Tahoma"/>
            <family val="2"/>
          </rPr>
          <t>Fósforo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E143" authorId="1" shapeId="0" xr:uid="{00000000-0006-0000-1000-00005F000000}">
      <text>
        <r>
          <rPr>
            <b/>
            <sz val="9"/>
            <color indexed="81"/>
            <rFont val="Tahoma"/>
            <family val="2"/>
          </rPr>
          <t>Potássio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F143" authorId="1" shapeId="0" xr:uid="{00000000-0006-0000-1000-000060000000}">
      <text>
        <r>
          <rPr>
            <b/>
            <sz val="9"/>
            <color indexed="81"/>
            <rFont val="Tahoma"/>
            <family val="2"/>
          </rPr>
          <t>Magnésio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G143" authorId="1" shapeId="0" xr:uid="{00000000-0006-0000-1000-000061000000}">
      <text>
        <r>
          <rPr>
            <b/>
            <sz val="9"/>
            <color indexed="81"/>
            <rFont val="Tahoma"/>
            <family val="2"/>
          </rPr>
          <t>Preencher apenas quando a tabela de referência utilizada apresenta dados sobre outros elementos, que vão ser considerados na elaboração do plano de fertilização.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H143" authorId="1" shapeId="0" xr:uid="{00000000-0006-0000-1000-000062000000}">
      <text>
        <r>
          <rPr>
            <b/>
            <sz val="9"/>
            <color indexed="81"/>
            <rFont val="Tahoma"/>
            <family val="2"/>
          </rPr>
          <t>Preencher apenas quando a tabela de referência utilizada apresenta dados sobre outros elementos, que vão ser considerados na elaboração do plano de fertilização.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I143" authorId="1" shapeId="0" xr:uid="{00000000-0006-0000-1000-000063000000}">
      <text>
        <r>
          <rPr>
            <b/>
            <sz val="9"/>
            <color indexed="81"/>
            <rFont val="Tahoma"/>
            <family val="2"/>
          </rPr>
          <t>Preencher apenas quando a tabela de referência utilizada apresenta dados sobre outros elementos, que vão ser considerados na elaboração do plano de fertilização.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J143" authorId="1" shapeId="0" xr:uid="{00000000-0006-0000-1000-000064000000}">
      <text>
        <r>
          <rPr>
            <b/>
            <sz val="9"/>
            <color indexed="81"/>
            <rFont val="Tahoma"/>
            <family val="2"/>
          </rPr>
          <t>Preencher apenas quando a tabela de referência utilizada apresenta dados sobre outros elementos, que vão ser considerados na elaboração do plano de fertilização.
Considerar o valor recomendado nas tabelas de referência do Manual de Fertilização das Culturas, INIAV 2022, de acordo com a produção esperada e com os resultados obtidos nas análises de solo e, no caso das culturas arbóreas e arbustivas em produção, também nos resultados das análises foliares.
No caso de ser feita ferirrega, as necessidades devem ser reduzidas entre 25%-30%.</t>
        </r>
      </text>
    </comment>
    <comment ref="A146" authorId="1" shapeId="0" xr:uid="{00000000-0006-0000-1000-000065000000}">
      <text>
        <r>
          <rPr>
            <b/>
            <sz val="9"/>
            <color indexed="81"/>
            <rFont val="Tahoma"/>
            <family val="2"/>
          </rPr>
          <t>Assinalar com uma "X" o campo correspondente à origem dos dados</t>
        </r>
        <r>
          <rPr>
            <sz val="9"/>
            <color indexed="81"/>
            <rFont val="Tahoma"/>
            <family val="2"/>
          </rPr>
          <t xml:space="preserve">
</t>
        </r>
      </text>
    </comment>
    <comment ref="C153" authorId="1" shapeId="0" xr:uid="{00000000-0006-0000-1000-000066000000}">
      <text>
        <r>
          <rPr>
            <b/>
            <sz val="9"/>
            <color indexed="81"/>
            <rFont val="Tahoma"/>
            <family val="2"/>
          </rPr>
          <t>Valores devem ser expressos em kg/ha.
Ter em atenção que:
- De acordo com o Regulamento 2018/848, em Agricultura Biológica, a quantidade total de estrume animal a aplicar não pode exceder 170 kg de azoto por ano e por hectare;
- Nas parcelas em Zona Vulnerável, de acordo com a Portaria n.º259/2012, a quantidade de matérias fertilizantes de natureza orgânica a aplicar, por hectare de SAU e ano, não pode veicular mais de 250 kg de azoto total, o qual não deve conter mais de 170 kg de azoto total de efluentes pecuários.</t>
        </r>
      </text>
    </comment>
    <comment ref="D153" authorId="1" shapeId="0" xr:uid="{00000000-0006-0000-1000-000067000000}">
      <text>
        <r>
          <rPr>
            <b/>
            <sz val="9"/>
            <color indexed="81"/>
            <rFont val="Tahoma"/>
            <family val="2"/>
          </rPr>
          <t>Valores devem ser expressos em kg/ha.</t>
        </r>
        <r>
          <rPr>
            <sz val="9"/>
            <color indexed="81"/>
            <rFont val="Tahoma"/>
            <family val="2"/>
          </rPr>
          <t xml:space="preserve">
</t>
        </r>
      </text>
    </comment>
    <comment ref="E153" authorId="1" shapeId="0" xr:uid="{00000000-0006-0000-1000-000068000000}">
      <text>
        <r>
          <rPr>
            <b/>
            <sz val="9"/>
            <color indexed="81"/>
            <rFont val="Tahoma"/>
            <family val="2"/>
          </rPr>
          <t>Valores devem ser expressos em kg/ha.</t>
        </r>
      </text>
    </comment>
    <comment ref="F153" authorId="1" shapeId="0" xr:uid="{00000000-0006-0000-1000-000069000000}">
      <text>
        <r>
          <rPr>
            <b/>
            <sz val="9"/>
            <color indexed="81"/>
            <rFont val="Tahoma"/>
            <family val="2"/>
          </rPr>
          <t>Valores devem ser expressos em kg/ha.</t>
        </r>
      </text>
    </comment>
    <comment ref="G153" authorId="1" shapeId="0" xr:uid="{00000000-0006-0000-1000-00006A000000}">
      <text>
        <r>
          <rPr>
            <b/>
            <sz val="9"/>
            <color indexed="81"/>
            <rFont val="Tahoma"/>
            <family val="2"/>
          </rPr>
          <t>Preencher apenas quando for recomendada a calagem.
Valores devem ser expressos em kg/ha.</t>
        </r>
      </text>
    </comment>
    <comment ref="H153" authorId="1" shapeId="0" xr:uid="{00000000-0006-0000-1000-00006B000000}">
      <text>
        <r>
          <rPr>
            <b/>
            <sz val="9"/>
            <color indexed="81"/>
            <rFont val="Tahoma"/>
            <family val="2"/>
          </rPr>
          <t>Preencher apenas quando se prevê aplicar um elemento nutricional adicional.
Valores devem ser expressos em kg/ha.</t>
        </r>
      </text>
    </comment>
    <comment ref="I153" authorId="1" shapeId="0" xr:uid="{00000000-0006-0000-1000-00006C000000}">
      <text>
        <r>
          <rPr>
            <b/>
            <sz val="9"/>
            <color indexed="81"/>
            <rFont val="Tahoma"/>
            <family val="2"/>
          </rPr>
          <t>Preencher apenas quando se prevê aplicar um elemento nutricional adicional.
Valores devem ser expressos em kg/ha.</t>
        </r>
      </text>
    </comment>
    <comment ref="J153" authorId="1" shapeId="0" xr:uid="{00000000-0006-0000-1000-00006D000000}">
      <text>
        <r>
          <rPr>
            <b/>
            <sz val="9"/>
            <color indexed="81"/>
            <rFont val="Tahoma"/>
            <family val="2"/>
          </rPr>
          <t>Preencher apenas quando se prevê aplicar um elemento nutricional adicional.
Valores devem ser expressos em kg/ha.</t>
        </r>
      </text>
    </comment>
    <comment ref="A154" authorId="1" shapeId="0" xr:uid="{00000000-0006-0000-1000-00006E000000}">
      <text>
        <r>
          <rPr>
            <b/>
            <sz val="9"/>
            <color indexed="81"/>
            <rFont val="Tahoma"/>
            <family val="2"/>
          </rPr>
          <t>Este valor vai corresponder à quantidade de nutrientres que deve ser aplicada.
O preenchimento é automático para o azoto, fósforo, potássio e magnésio, após preenchimento dos campos 1.1, 1.2, 1.5, 1.6, 1.7 e 2 (ajustados à realidade da exploração).</t>
        </r>
        <r>
          <rPr>
            <sz val="9"/>
            <color indexed="81"/>
            <rFont val="Tahoma"/>
            <family val="2"/>
          </rPr>
          <t xml:space="preserve">
</t>
        </r>
      </text>
    </comment>
    <comment ref="C154" authorId="1" shapeId="0" xr:uid="{00000000-0006-0000-1000-00006F000000}">
      <text>
        <r>
          <rPr>
            <b/>
            <sz val="9"/>
            <color indexed="81"/>
            <rFont val="Tahoma"/>
            <family val="2"/>
          </rPr>
          <t>Auxiliar - fórmula de cálculo:
N=Nc-(Ns-Na-Nv-Nr-Nx)
N - Total de azoto a disponibilizar à cultura;
Nc - Necessidade da cultura em azoto;
Ns - Quantidade de azoto a deduzir em função dos resultados das análises de terras;
Na - Azoto veículado pela água de rega;
Nv - Azoto proveniente da adubação verde;
Nr - Azoto proveniente dos resíduos da cultura precedente;
Nx - Azoto proveniente do excreta dos animais em pastoreio.</t>
        </r>
      </text>
    </comment>
    <comment ref="D154" authorId="1" shapeId="0" xr:uid="{00000000-0006-0000-1000-000070000000}">
      <text>
        <r>
          <rPr>
            <b/>
            <sz val="9"/>
            <color indexed="81"/>
            <rFont val="Tahoma"/>
            <family val="2"/>
          </rPr>
          <t>Auxiliar - fórmula de cálculo:
P</t>
        </r>
        <r>
          <rPr>
            <b/>
            <vertAlign val="subscript"/>
            <sz val="9"/>
            <color indexed="81"/>
            <rFont val="Tahoma"/>
            <family val="2"/>
          </rPr>
          <t>2</t>
        </r>
        <r>
          <rPr>
            <b/>
            <sz val="9"/>
            <color indexed="81"/>
            <rFont val="Tahoma"/>
            <family val="2"/>
          </rPr>
          <t>O</t>
        </r>
        <r>
          <rPr>
            <b/>
            <vertAlign val="subscript"/>
            <sz val="9"/>
            <color indexed="81"/>
            <rFont val="Tahoma"/>
            <family val="2"/>
          </rPr>
          <t>5</t>
        </r>
        <r>
          <rPr>
            <b/>
            <sz val="9"/>
            <color indexed="81"/>
            <rFont val="Tahoma"/>
            <family val="2"/>
          </rPr>
          <t>=Pc-(Pa-Px)
P</t>
        </r>
        <r>
          <rPr>
            <b/>
            <vertAlign val="subscript"/>
            <sz val="9"/>
            <color indexed="81"/>
            <rFont val="Tahoma"/>
            <family val="2"/>
          </rPr>
          <t>2</t>
        </r>
        <r>
          <rPr>
            <b/>
            <sz val="9"/>
            <color indexed="81"/>
            <rFont val="Tahoma"/>
            <family val="2"/>
          </rPr>
          <t>O</t>
        </r>
        <r>
          <rPr>
            <b/>
            <vertAlign val="subscript"/>
            <sz val="9"/>
            <color indexed="81"/>
            <rFont val="Tahoma"/>
            <family val="2"/>
          </rPr>
          <t>5</t>
        </r>
        <r>
          <rPr>
            <b/>
            <sz val="9"/>
            <color indexed="81"/>
            <rFont val="Tahoma"/>
            <family val="2"/>
          </rPr>
          <t xml:space="preserve"> - Total de fósforo a disponibilizar à cultura;
Pc - Necessidade da cultura em fósforo;
Pa - Fósforo veículado pela água de rega;
Nx - Fósforo proveniente do excreta dos animais em pastoreio.</t>
        </r>
        <r>
          <rPr>
            <sz val="9"/>
            <color indexed="81"/>
            <rFont val="Tahoma"/>
            <family val="2"/>
          </rPr>
          <t xml:space="preserve">
</t>
        </r>
      </text>
    </comment>
    <comment ref="E154" authorId="1" shapeId="0" xr:uid="{00000000-0006-0000-1000-000071000000}">
      <text>
        <r>
          <rPr>
            <b/>
            <sz val="9"/>
            <color indexed="81"/>
            <rFont val="Tahoma"/>
            <family val="2"/>
          </rPr>
          <t>Auxiliar - fórmula de cálculo:
K</t>
        </r>
        <r>
          <rPr>
            <b/>
            <vertAlign val="subscript"/>
            <sz val="9"/>
            <color indexed="81"/>
            <rFont val="Tahoma"/>
            <family val="2"/>
          </rPr>
          <t>2</t>
        </r>
        <r>
          <rPr>
            <b/>
            <sz val="9"/>
            <color indexed="81"/>
            <rFont val="Tahoma"/>
            <family val="2"/>
          </rPr>
          <t>O=Kc-(Kx)
K</t>
        </r>
        <r>
          <rPr>
            <b/>
            <vertAlign val="subscript"/>
            <sz val="9"/>
            <color indexed="81"/>
            <rFont val="Tahoma"/>
            <family val="2"/>
          </rPr>
          <t>2</t>
        </r>
        <r>
          <rPr>
            <b/>
            <sz val="9"/>
            <color indexed="81"/>
            <rFont val="Tahoma"/>
            <family val="2"/>
          </rPr>
          <t>O - Total de potássio a disponibilizar à cultura;
Kc - Necessidade da cultura em potássio;
Kx - Potássio proveniente do excreta dos animais em pastoreio.</t>
        </r>
        <r>
          <rPr>
            <sz val="9"/>
            <color indexed="81"/>
            <rFont val="Tahoma"/>
            <family val="2"/>
          </rPr>
          <t xml:space="preserve">
</t>
        </r>
      </text>
    </comment>
    <comment ref="F154" authorId="1" shapeId="0" xr:uid="{00000000-0006-0000-1000-000072000000}">
      <text>
        <r>
          <rPr>
            <b/>
            <sz val="9"/>
            <color indexed="81"/>
            <rFont val="Tahoma"/>
            <family val="2"/>
          </rPr>
          <t>Auxiliar - fórmula de cálculo:
Mg=Mgc
Mg - Total de magnésio a disponibilizar à cultura;
Mgc - Necessidade da cultura em magnésio;
Nota: Quando há aplicação de calcários magnesianos ou dolomíticos, que contêm magnésio, considerar a quantidade de Mg veiculada pelo calcário.</t>
        </r>
      </text>
    </comment>
    <comment ref="G154" authorId="1" shapeId="0" xr:uid="{00000000-0006-0000-1000-000073000000}">
      <text>
        <r>
          <rPr>
            <b/>
            <sz val="9"/>
            <color indexed="81"/>
            <rFont val="Tahoma"/>
            <family val="2"/>
          </rPr>
          <t>Indicar a quantidade de calcário recomendada em kg/ha</t>
        </r>
      </text>
    </comment>
    <comment ref="H154" authorId="1" shapeId="0" xr:uid="{00000000-0006-0000-1000-000074000000}">
      <text>
        <r>
          <rPr>
            <b/>
            <sz val="9"/>
            <color indexed="81"/>
            <rFont val="Tahoma"/>
            <family val="2"/>
          </rPr>
          <t>Preencher manualmente com os valores da quantidade de nutriente adicional a aplicar (caso exista).</t>
        </r>
      </text>
    </comment>
    <comment ref="I154" authorId="1" shapeId="0" xr:uid="{00000000-0006-0000-1000-000075000000}">
      <text>
        <r>
          <rPr>
            <b/>
            <sz val="9"/>
            <color indexed="81"/>
            <rFont val="Tahoma"/>
            <family val="2"/>
          </rPr>
          <t>Preencher apenas quando se prevê aplicar um elemento nutricional adicional.
Valores devem ser expressos em kg/ha.</t>
        </r>
      </text>
    </comment>
    <comment ref="J154" authorId="1" shapeId="0" xr:uid="{00000000-0006-0000-1000-000076000000}">
      <text>
        <r>
          <rPr>
            <b/>
            <sz val="9"/>
            <color indexed="81"/>
            <rFont val="Tahoma"/>
            <family val="2"/>
          </rPr>
          <t>Preencher apenas quando se prevê aplicar um elemento nutricional adicional.
Valores devem ser expressos em kg/ha.</t>
        </r>
      </text>
    </comment>
    <comment ref="D156" authorId="1" shapeId="0" xr:uid="{00000000-0006-0000-1000-000077000000}">
      <text>
        <r>
          <rPr>
            <b/>
            <sz val="9"/>
            <color indexed="81"/>
            <rFont val="Tahoma"/>
            <family val="2"/>
          </rPr>
          <t>Sempre que for efetuado a correção do pH do solo por calagem é obrigatória indicar o teor de magnésio do calcário (em Mg ou MgO).
Valores possíveis:
- Calcário calcítico (constituído apenas por carbonato de cálcio);
- Calcário magnesiano (teor de óxido de magnésio igual ou superior a 3%);
- Calcário dolomítico (constituídos por carbonato de cálcio e carbonato de magnésio, mas com teor de óxido de magnésio igual ou superior a 12 %).</t>
        </r>
        <r>
          <rPr>
            <sz val="9"/>
            <color indexed="81"/>
            <rFont val="Tahoma"/>
            <family val="2"/>
          </rPr>
          <t xml:space="preserve">
</t>
        </r>
      </text>
    </comment>
    <comment ref="A160" authorId="1" shapeId="0" xr:uid="{00000000-0006-0000-1000-000078000000}">
      <text>
        <r>
          <rPr>
            <b/>
            <sz val="9"/>
            <color indexed="81"/>
            <rFont val="Tahoma"/>
            <family val="2"/>
          </rPr>
          <t>Nas linhas seguintes o beneficiário deverá identificar o tipo de fertilizante que prevê utilizar para suprir as necessidade determinadas no campo «Previsão total de nutrientes a disponibilizar à cultura» e a respetiva quantificação dos nutrientes.
Valores possíveis:
- Aplicação de corretivos minerais;
- Aplicação de estrume;
- Aplicação de chorume;
- Aplicação de digerido de Unidade de Biogás;
- Aplicação de sedimentos depositados nos orgãos de armazenamento de efluentes pecuários;
- Mistura de efluentes pecuários e seus derivados;
- Aplicação de Composto de bioresíduos de origem agrícola;
- Aplicação de Composto orgânico de Unidade de tratamento de residuos sólidos urbanos;
- Aplicação de outro tipo de composto;
- Aplicação de adubo orgânico;
- Aplicação de corretivo orgânico;
- Fertilizante de síntese.
Para os fertilizantes de síntese deverão ser registadas tantas linhas quantas as diferentes formulações o beneficiário pretender aplicar.</t>
        </r>
      </text>
    </comment>
    <comment ref="H160" authorId="1" shapeId="0" xr:uid="{00000000-0006-0000-1000-000079000000}">
      <text>
        <r>
          <rPr>
            <b/>
            <sz val="9"/>
            <color indexed="81"/>
            <rFont val="Tahoma"/>
            <family val="2"/>
          </rPr>
          <t>Preencher apenas quando se prevê aplicar um elemento nutricional adicional.
Valores devem ser expressos em kg/ha.</t>
        </r>
        <r>
          <rPr>
            <sz val="9"/>
            <color indexed="81"/>
            <rFont val="Tahoma"/>
            <family val="2"/>
          </rPr>
          <t xml:space="preserve">
</t>
        </r>
      </text>
    </comment>
    <comment ref="I160" authorId="1" shapeId="0" xr:uid="{00000000-0006-0000-1000-00007A000000}">
      <text>
        <r>
          <rPr>
            <b/>
            <sz val="9"/>
            <color indexed="81"/>
            <rFont val="Tahoma"/>
            <family val="2"/>
          </rPr>
          <t>Preencher apenas quando se prevê aplicar um elemento nutricional adicional.
Valores devem ser expressos em kg/ha.</t>
        </r>
        <r>
          <rPr>
            <sz val="9"/>
            <color indexed="81"/>
            <rFont val="Tahoma"/>
            <family val="2"/>
          </rPr>
          <t xml:space="preserve">
</t>
        </r>
      </text>
    </comment>
    <comment ref="J160" authorId="1" shapeId="0" xr:uid="{00000000-0006-0000-1000-00007B000000}">
      <text>
        <r>
          <rPr>
            <b/>
            <sz val="9"/>
            <color indexed="81"/>
            <rFont val="Tahoma"/>
            <family val="2"/>
          </rPr>
          <t>Preencher apenas quando se prevê aplicar um elemento nutricional adicional.
Valores devem ser expressos em kg/ha.</t>
        </r>
        <r>
          <rPr>
            <sz val="9"/>
            <color indexed="81"/>
            <rFont val="Tahoma"/>
            <family val="2"/>
          </rPr>
          <t xml:space="preserve">
</t>
        </r>
      </text>
    </comment>
    <comment ref="A173" authorId="1" shapeId="0" xr:uid="{00000000-0006-0000-1000-00007C000000}">
      <text>
        <r>
          <rPr>
            <b/>
            <sz val="9"/>
            <color indexed="81"/>
            <rFont val="Tahoma"/>
            <family val="2"/>
          </rPr>
          <t xml:space="preserve">O beneficiário deve, por cada um dos nutrientes listados, somar as quantidades a disponibilizar através dos tipos de fertilizantes orgânicos listados no campo «nutrientes a disponibilizar por tipo de fertilizantes». </t>
        </r>
        <r>
          <rPr>
            <sz val="9"/>
            <color indexed="81"/>
            <rFont val="Tahoma"/>
            <family val="2"/>
          </rPr>
          <t xml:space="preserve">
</t>
        </r>
      </text>
    </comment>
    <comment ref="A174" authorId="1" shapeId="0" xr:uid="{00000000-0006-0000-1000-00007D000000}">
      <text>
        <r>
          <rPr>
            <b/>
            <sz val="9"/>
            <color indexed="81"/>
            <rFont val="Tahoma"/>
            <family val="2"/>
          </rPr>
          <t xml:space="preserve">O beneficiário deve, por cada um dos nutrientes listados, somar as quantidades a disponibilizar através dos tipos de outros fertilizantes orgânicos listados no campo «nutrientes a disponibilizar por tipo de fertilizantes». </t>
        </r>
        <r>
          <rPr>
            <sz val="9"/>
            <color indexed="81"/>
            <rFont val="Tahoma"/>
            <family val="2"/>
          </rPr>
          <t xml:space="preserve">
</t>
        </r>
      </text>
    </comment>
    <comment ref="A175" authorId="1" shapeId="0" xr:uid="{00000000-0006-0000-1000-00007E000000}">
      <text>
        <r>
          <rPr>
            <b/>
            <sz val="9"/>
            <color indexed="81"/>
            <rFont val="Tahoma"/>
            <family val="2"/>
          </rPr>
          <t xml:space="preserve">O beneficiário deve, por cada um dos nutrientes listados, somar as quantidades a disponibilizar através dos tipos de fertilizantes não orgânicos listados no campo «nutrientes a disponibilizar por tipo de fertilizantes». </t>
        </r>
        <r>
          <rPr>
            <sz val="9"/>
            <color indexed="81"/>
            <rFont val="Tahoma"/>
            <family val="2"/>
          </rPr>
          <t xml:space="preserve">
</t>
        </r>
      </text>
    </comment>
    <comment ref="A176" authorId="1" shapeId="0" xr:uid="{00000000-0006-0000-1000-00007F000000}">
      <text>
        <r>
          <rPr>
            <b/>
            <sz val="9"/>
            <color indexed="81"/>
            <rFont val="Tahoma"/>
            <family val="2"/>
          </rPr>
          <t>Este somatório, por cada um dos nutrientes, não pode ser superior aos valores determinados no campo «Previsão total de nutrientes a disponibilzar à cultura» do «Quadro 3 - Plano de aplicação».</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DSPP</author>
    <author>Miguel Jorge Viegas Cardoso</author>
  </authors>
  <commentList>
    <comment ref="A5" authorId="0" shapeId="0" xr:uid="{00000000-0006-0000-1100-000001000000}">
      <text>
        <r>
          <rPr>
            <b/>
            <sz val="9"/>
            <color indexed="81"/>
            <rFont val="Tahoma"/>
            <family val="2"/>
          </rPr>
          <t>O Plano de Gestão do Pastoreio é obrigatório para as seguintes intervenções PEPAC: Maneio da Pastagem Permanente (para 3 anos) e Conservação do Solo - Pastagens Biodiversas (para 5 anos).
Pretende-se que o agricultor faça uma caraterização das pastagens permanentes, na qual deve incluir tipo de pastagem permanente, resultado das Análises (a registar no Anexo 1 - Plano de Fertilização); estado geral da pastagem: grau de cobertura do solo com vegetação herbácea, estruturas de parqueamento do gado (tipo, quando existentes), pontos de água acessíveis ao gado (se existem e de que tipo) e caracterização do maneio do gado.
Para além da caraterização das áreas de pastagem permanente, o beneficiário deverá apresentar um planeamento/organigrama das práticas culturais, que se propõe implementar para melhorar o estado das pastagens, aumentar/manter os níveis de armazenamento do carbono orgânico, bem como o conjunto de alterações a efetuar no maneio do seu efetivo pecuário para garantir a melhoria ou manutenção do estado de conservação das pastagens e do sequestro do carbono orgânico.</t>
        </r>
        <r>
          <rPr>
            <sz val="9"/>
            <color indexed="81"/>
            <rFont val="Tahoma"/>
            <family val="2"/>
          </rPr>
          <t xml:space="preserve">
</t>
        </r>
      </text>
    </comment>
    <comment ref="A9" authorId="1" shapeId="0" xr:uid="{00000000-0006-0000-1100-000002000000}">
      <text>
        <r>
          <rPr>
            <b/>
            <sz val="9"/>
            <color indexed="81"/>
            <rFont val="Tahoma"/>
            <family val="2"/>
          </rPr>
          <t xml:space="preserve"> N.º sequencial da parcela - Preencher com o n.º sequencial da parcela constante do iE do agricultor e anexar o respetivo iE.
Parcela é a área delimitada geograficamente com uma identificação única conforme registado no Sistema de Identificação Parcelar (iSIP).
O iE é o documento de caraterização da exploração agrícola resultante da identificação das parcelas da exploração no iSIP; esta caraterização da exploração encontra-se no documento IFAP e nele consta o n.º sequencial da parcela ou baldio; n.º do parcelário; nome da parcela; área da parcela; IQFP, entre outros. </t>
        </r>
        <r>
          <rPr>
            <sz val="9"/>
            <color indexed="81"/>
            <rFont val="Tahoma"/>
            <family val="2"/>
          </rPr>
          <t xml:space="preserve">
</t>
        </r>
      </text>
    </comment>
    <comment ref="B9" authorId="0" shapeId="0" xr:uid="{00000000-0006-0000-1100-000003000000}">
      <text>
        <r>
          <rPr>
            <b/>
            <sz val="9"/>
            <color indexed="81"/>
            <rFont val="Tahoma"/>
            <family val="2"/>
          </rPr>
          <t>Preencher com o n.º de subparcela constante no iE para a corresponde parcela com o n.º sequencial registado na coluna anterior.
Entende-se por Subparcela a área corresponde à porção contínua de terreno homogéneo com a mesma ocupação de solo existente numa mesma parcela e que consta do documento iE.</t>
        </r>
        <r>
          <rPr>
            <sz val="9"/>
            <color indexed="81"/>
            <rFont val="Tahoma"/>
            <family val="2"/>
          </rPr>
          <t xml:space="preserve">
</t>
        </r>
      </text>
    </comment>
    <comment ref="C9" authorId="0" shapeId="0" xr:uid="{00000000-0006-0000-1100-000004000000}">
      <text>
        <r>
          <rPr>
            <b/>
            <sz val="9"/>
            <color indexed="81"/>
            <rFont val="Tahoma"/>
            <family val="2"/>
          </rPr>
          <t>A Zona Homogénea, que deverá ser identificada por uma letra maiúscula, tanto pode corresponder a uma subparcela, como a mais do que uma. Nas culturas arbóreas e arbustivas, a zona homogénea compreende as mesmas características dominantes quanto à natureza do solo, à topografia e exposição, à espécie e variedade das plantas, à idade das plantas e às práticas culturais.
No caso das culturas anuais, pertencentes à mesma unidade de produção, a zona homogênea compreende as mesmas características dominantes. Uma mesma zona homogénea, para efeitos de registo no presente caderno de campo não deve contemplar conjuntamente área em conversão e área em produção biológica. Por exemplo: Pode incluir uma vinha com várias castas, desde que as outras caraterísticas dominantes sejam uniformes quanto à natureza do solo, à topografia, ao passado cultural e às práticas culturais e a finalidade da produção seja a mesma (uva para vinho ou uva de mesa não podem estar na mesma zona homogénea mas, vinha com diferentes castas podem estar na mesma zona homogénea).</t>
        </r>
        <r>
          <rPr>
            <sz val="9"/>
            <color indexed="81"/>
            <rFont val="Tahoma"/>
            <family val="2"/>
          </rPr>
          <t xml:space="preserve">
</t>
        </r>
      </text>
    </comment>
    <comment ref="D9" authorId="0" shapeId="0" xr:uid="{00000000-0006-0000-1100-000005000000}">
      <text>
        <r>
          <rPr>
            <b/>
            <sz val="9"/>
            <color indexed="81"/>
            <rFont val="Tahoma"/>
            <family val="2"/>
          </rPr>
          <t>Beneficiário deve preencher a área da subparcela registada na coluna «subparcela» (ha).</t>
        </r>
        <r>
          <rPr>
            <sz val="9"/>
            <color indexed="81"/>
            <rFont val="Tahoma"/>
            <family val="2"/>
          </rPr>
          <t xml:space="preserve">
</t>
        </r>
      </text>
    </comment>
    <comment ref="E9" authorId="0" shapeId="0" xr:uid="{00000000-0006-0000-1100-000006000000}">
      <text>
        <r>
          <rPr>
            <b/>
            <sz val="8"/>
            <color indexed="81"/>
            <rFont val="Verdana"/>
            <family val="2"/>
          </rPr>
          <t>Preencher campo apenas se o beneficiário for candidato à intervenção agroambiental «conservação do solo - pastagens biodiversas».
Indicar se a pastagem é semeada ou natural.</t>
        </r>
        <r>
          <rPr>
            <sz val="9"/>
            <color indexed="81"/>
            <rFont val="Tahoma"/>
            <family val="2"/>
          </rPr>
          <t xml:space="preserve">
</t>
        </r>
      </text>
    </comment>
    <comment ref="F9" authorId="0" shapeId="0" xr:uid="{00000000-0006-0000-1100-000007000000}">
      <text>
        <r>
          <rPr>
            <b/>
            <sz val="8"/>
            <color indexed="81"/>
            <rFont val="Verdana"/>
            <family val="2"/>
          </rPr>
          <t>Indicar o grau de cobertura do coberto vegetal (vegetação herbácea): 
- grau de cobertura elevado - ≥ 80%;
- grau de cobertura médio – &gt; 40% e &lt; 80%;
- grau de cobertura fraco - ≤ 40%</t>
        </r>
        <r>
          <rPr>
            <sz val="9"/>
            <color indexed="81"/>
            <rFont val="Tahoma"/>
            <family val="2"/>
          </rPr>
          <t xml:space="preserve">
</t>
        </r>
      </text>
    </comment>
    <comment ref="G9" authorId="0" shapeId="0" xr:uid="{00000000-0006-0000-1100-000008000000}">
      <text>
        <r>
          <rPr>
            <b/>
            <sz val="8"/>
            <color indexed="81"/>
            <rFont val="Verdana"/>
            <family val="2"/>
          </rPr>
          <t>No caso do regime ecológico «maneio da pastagem permanente» indicar se a presença de leguminosas é adequada, fraca ou ausente na subparcela/zona homogénea.
No caso da intervenção agroambiental «conservação do solo - pastagens biodiversas» identificar as diferentes espécies de leguminosas presentes na subparcela/zona homogénea.</t>
        </r>
        <r>
          <rPr>
            <sz val="9"/>
            <color indexed="81"/>
            <rFont val="Tahoma"/>
            <family val="2"/>
          </rPr>
          <t xml:space="preserve">
</t>
        </r>
      </text>
    </comment>
    <comment ref="H9" authorId="0" shapeId="0" xr:uid="{00000000-0006-0000-1100-000009000000}">
      <text>
        <r>
          <rPr>
            <b/>
            <sz val="8"/>
            <color indexed="81"/>
            <rFont val="Verdana"/>
            <family val="2"/>
          </rPr>
          <t>Indicar o tipo de estrutura utilizado no parqueamento do gado, quando existente: 
- Vedação/cerca fixa;
- Cerca móvel;
- Cerca elétrica;
- Outras</t>
        </r>
        <r>
          <rPr>
            <sz val="9"/>
            <color indexed="81"/>
            <rFont val="Tahoma"/>
            <family val="2"/>
          </rPr>
          <t xml:space="preserve">
</t>
        </r>
      </text>
    </comment>
    <comment ref="I9" authorId="0" shapeId="0" xr:uid="{00000000-0006-0000-1100-00000A000000}">
      <text>
        <r>
          <rPr>
            <b/>
            <sz val="8"/>
            <color indexed="81"/>
            <rFont val="Verdana"/>
            <family val="2"/>
          </rPr>
          <t>Indicar tipo de ponto de água. Preencher campo com os seguintes valores 
- Bebedouro;
- Charca;
- Cisterna;
- Tanque;
- Reservatório;
- Outros;
- Não existem</t>
        </r>
        <r>
          <rPr>
            <sz val="9"/>
            <color indexed="81"/>
            <rFont val="Tahoma"/>
            <family val="2"/>
          </rPr>
          <t xml:space="preserve">
</t>
        </r>
      </text>
    </comment>
    <comment ref="J10" authorId="0" shapeId="0" xr:uid="{00000000-0006-0000-1100-00000B000000}">
      <text>
        <r>
          <rPr>
            <b/>
            <sz val="9"/>
            <color indexed="81"/>
            <rFont val="Tahoma"/>
            <family val="2"/>
          </rPr>
          <t>Para cada uma das subparcelas candidatas (ao regime ecológico ou à intervenção agroambiental) identificar qual o tipo de intervenção proposto no presente Plano de Gestão de Pastoreio e que devem ser detalhadas nos quadros seguintes.</t>
        </r>
        <r>
          <rPr>
            <sz val="9"/>
            <color indexed="81"/>
            <rFont val="Tahoma"/>
            <family val="2"/>
          </rPr>
          <t xml:space="preserve">
</t>
        </r>
      </text>
    </comment>
    <comment ref="J11" authorId="0" shapeId="0" xr:uid="{00000000-0006-0000-1100-00000C000000}">
      <text>
        <r>
          <rPr>
            <b/>
            <sz val="9"/>
            <color indexed="81"/>
            <rFont val="Tahoma"/>
            <family val="2"/>
          </rPr>
          <t>Preencher campo com o valor "X". É obrigatório o registo do planeamento do maneio do efetivo pecuário (carga animal, duração do pastoreio em cada parcela, alternância entre as parcelas a pastorear) para o período de 3 anos, no caso do regime ecológico «maneio da pastagem permanente» e de 5 anos, no caso da intervenção «conservação do solo - pastagens biodiversas» .
Devem ser preenchidos os quadros 2 e 6, consoante as necessidades de intervenção observadas na avaliação global das pastagens permanentes no que diz respeito ao maneio do efetivo pecuário.</t>
        </r>
        <r>
          <rPr>
            <sz val="9"/>
            <color indexed="81"/>
            <rFont val="Tahoma"/>
            <family val="2"/>
          </rPr>
          <t xml:space="preserve">
</t>
        </r>
      </text>
    </comment>
    <comment ref="K11" authorId="0" shapeId="0" xr:uid="{00000000-0006-0000-1100-00000D000000}">
      <text>
        <r>
          <rPr>
            <b/>
            <sz val="9"/>
            <color indexed="81"/>
            <rFont val="Tahoma"/>
            <family val="2"/>
          </rPr>
          <t>Preencher campo com o valor "X" quando o presente plano propuser ações que visem o controlo de vegetação arbustiva para evitar a degradação da pastage
Quando o campo "controlo vegetação arbustiva" for assinalado com "X" deve ser preenchido o quadro 3.</t>
        </r>
        <r>
          <rPr>
            <sz val="9"/>
            <color indexed="81"/>
            <rFont val="Tahoma"/>
            <family val="2"/>
          </rPr>
          <t xml:space="preserve">
</t>
        </r>
      </text>
    </comment>
    <comment ref="L11" authorId="0" shapeId="0" xr:uid="{00000000-0006-0000-1100-00000E000000}">
      <text>
        <r>
          <rPr>
            <b/>
            <sz val="9"/>
            <color indexed="81"/>
            <rFont val="Tahoma"/>
            <family val="2"/>
          </rPr>
          <t>Preencher campo com o valor "X" quando o Plano de Fertilização para as subparcelas candidatas (regime ecológico ou intervenção agroambiental) propôr a realização de correções e/ou fertilizações.</t>
        </r>
        <r>
          <rPr>
            <sz val="9"/>
            <color indexed="81"/>
            <rFont val="Tahoma"/>
            <family val="2"/>
          </rPr>
          <t xml:space="preserve">
</t>
        </r>
      </text>
    </comment>
    <comment ref="M11" authorId="0" shapeId="0" xr:uid="{00000000-0006-0000-1100-00000F000000}">
      <text>
        <r>
          <rPr>
            <b/>
            <sz val="9"/>
            <color indexed="81"/>
            <rFont val="Tahoma"/>
            <family val="2"/>
          </rPr>
          <t>Preencher campo com o valor "X" quando o presente plano propuser ações no sentido de melhorar a composição florística/espécies pratenses da subparcela em causa..
Quando o campo "sementeira/ressementeira/melhoria da pp" for assinalado com "X" devem ser preenchidos os quadros 4 e 5 (nos campos aplicáveis).</t>
        </r>
        <r>
          <rPr>
            <sz val="9"/>
            <color indexed="81"/>
            <rFont val="Tahoma"/>
            <family val="2"/>
          </rPr>
          <t xml:space="preserve">
</t>
        </r>
      </text>
    </comment>
    <comment ref="A34" authorId="0" shapeId="0" xr:uid="{00000000-0006-0000-1100-000010000000}">
      <text>
        <r>
          <rPr>
            <b/>
            <sz val="9"/>
            <color indexed="81"/>
            <rFont val="Tahoma"/>
            <family val="2"/>
          </rPr>
          <t>No caso do regime ecológico «maneio da pastagem permanente», a carga animal no pastoreio das parcelas candidatas deve ser proposta para 3 anos.
No caso da intervenção agroambiental «conservação do solo - pastagens biodiversas, a carga animal no pastoreio das parcelas candidatas deve ser propostas para 5 anos.</t>
        </r>
        <r>
          <rPr>
            <sz val="9"/>
            <color indexed="81"/>
            <rFont val="Tahoma"/>
            <family val="2"/>
          </rPr>
          <t xml:space="preserve">
</t>
        </r>
      </text>
    </comment>
    <comment ref="A36" authorId="0" shapeId="0" xr:uid="{00000000-0006-0000-1100-000011000000}">
      <text>
        <r>
          <rPr>
            <b/>
            <sz val="9"/>
            <color indexed="81"/>
            <rFont val="Tahoma"/>
            <family val="2"/>
          </rPr>
          <t>Preencher com a zona homogénea indicada no quadro 1 anterior como tendo necessidade de intervenção no maneio do pastoreio.</t>
        </r>
        <r>
          <rPr>
            <sz val="9"/>
            <color indexed="81"/>
            <rFont val="Tahoma"/>
            <family val="2"/>
          </rPr>
          <t xml:space="preserve">
</t>
        </r>
      </text>
    </comment>
    <comment ref="B36" authorId="0" shapeId="0" xr:uid="{00000000-0006-0000-1100-000012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37" authorId="0" shapeId="0" xr:uid="{00000000-0006-0000-1100-000013000000}">
      <text>
        <r>
          <rPr>
            <b/>
            <sz val="9"/>
            <color indexed="81"/>
            <rFont val="Tahoma"/>
            <family val="2"/>
          </rPr>
          <t>Preencher em cada trimestre o n.º de Cabeças Normais (CN) que é aconselhável pastorearem a zona homogénea em causa.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r>
          <rPr>
            <sz val="9"/>
            <color indexed="81"/>
            <rFont val="Tahoma"/>
            <family val="2"/>
          </rPr>
          <t xml:space="preserve">
</t>
        </r>
      </text>
    </comment>
    <comment ref="G37" authorId="0" shapeId="0" xr:uid="{00000000-0006-0000-1100-000014000000}">
      <text>
        <r>
          <rPr>
            <b/>
            <sz val="9"/>
            <color indexed="81"/>
            <rFont val="Tahoma"/>
            <family val="2"/>
          </rPr>
          <t>Preencher em cada trimestre o n.º de Cabeças Normais (CN) que é aconselhável pastorearem a zona homogénea em causa.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r>
          <rPr>
            <sz val="9"/>
            <color indexed="81"/>
            <rFont val="Tahoma"/>
            <family val="2"/>
          </rPr>
          <t xml:space="preserve">
</t>
        </r>
      </text>
    </comment>
    <comment ref="C38" authorId="0" shapeId="0" xr:uid="{00000000-0006-0000-1100-000016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D38" authorId="0" shapeId="0" xr:uid="{00000000-0006-0000-1100-000017000000}">
      <text>
        <r>
          <rPr>
            <b/>
            <sz val="9"/>
            <color indexed="81"/>
            <rFont val="Tahoma"/>
            <family val="2"/>
          </rPr>
          <t>Campo editável nos casos em que a rotação do efetivo apresenta outro período temporal (ex. mensal, bimensal, etc…).</t>
        </r>
      </text>
    </comment>
    <comment ref="E38" authorId="0" shapeId="0" xr:uid="{00000000-0006-0000-1100-000018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F38" authorId="0" shapeId="0" xr:uid="{24FDDF55-3B5D-4D06-B1DF-85AB2D940F19}">
      <text>
        <r>
          <rPr>
            <b/>
            <sz val="9"/>
            <color indexed="81"/>
            <rFont val="Tahoma"/>
            <family val="2"/>
          </rPr>
          <t>Campo editável nos casos em que a rotação do efetivo apresenta outro período temporal (ex. mensal, bimensal, etc…).</t>
        </r>
      </text>
    </comment>
    <comment ref="G38" authorId="0" shapeId="0" xr:uid="{00000000-0006-0000-1100-00001A000000}">
      <text>
        <r>
          <rPr>
            <b/>
            <sz val="9"/>
            <color indexed="81"/>
            <rFont val="Tahoma"/>
            <family val="2"/>
          </rPr>
          <t>Campo editável nos casos em que a rotação do efetivo apresenta outro período temporal (ex. mensal, bimensal, etc…).</t>
        </r>
      </text>
    </comment>
    <comment ref="H38" authorId="0" shapeId="0" xr:uid="{00000000-0006-0000-1100-00001B000000}">
      <text>
        <r>
          <rPr>
            <b/>
            <sz val="9"/>
            <color indexed="81"/>
            <rFont val="Tahoma"/>
            <family val="2"/>
          </rPr>
          <t>Campo editável nos casos em que a rotação do efetivo apresenta outro período temporal (ex. mensal, bimensal, etc…).</t>
        </r>
      </text>
    </comment>
    <comment ref="I38" authorId="0" shapeId="0" xr:uid="{5C48AF7E-26C8-4103-81E3-64A0CDA1E28D}">
      <text>
        <r>
          <rPr>
            <b/>
            <sz val="9"/>
            <color indexed="81"/>
            <rFont val="Tahoma"/>
            <family val="2"/>
          </rPr>
          <t>Campo editável nos casos em que a rotação do efetivo apresenta outro período temporal (ex. mensal, bimensal, etc…).</t>
        </r>
      </text>
    </comment>
    <comment ref="J38" authorId="0" shapeId="0" xr:uid="{7998EB7E-31CA-488D-B9BE-E32777039712}">
      <text>
        <r>
          <rPr>
            <b/>
            <sz val="9"/>
            <color indexed="81"/>
            <rFont val="Tahoma"/>
            <family val="2"/>
          </rPr>
          <t>Campo editável nos casos em que a rotação do efetivo apresenta outro período temporal (ex. mensal, bimensal, etc…).</t>
        </r>
      </text>
    </comment>
    <comment ref="A45" authorId="0" shapeId="0" xr:uid="{00000000-0006-0000-1100-00001D000000}">
      <text>
        <r>
          <rPr>
            <b/>
            <sz val="9"/>
            <color indexed="81"/>
            <rFont val="Tahoma"/>
            <family val="2"/>
          </rPr>
          <t>Preencher com a zona homogénea indicada no quadro 1 anterior como tendo necessidade de intervenção no maneio do pastoreio.</t>
        </r>
      </text>
    </comment>
    <comment ref="B45" authorId="0" shapeId="0" xr:uid="{00000000-0006-0000-1100-00001E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46" authorId="0" shapeId="0" xr:uid="{00000000-0006-0000-1100-00001F000000}">
      <text>
        <r>
          <rPr>
            <b/>
            <sz val="9"/>
            <color indexed="81"/>
            <rFont val="Tahoma"/>
            <family val="2"/>
          </rPr>
          <t>Preencher em cada trimestre o n.º de Cabeças Normais (CN) que é aconselhável pastorearem a zona homogénea em causa.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r>
          <rPr>
            <sz val="9"/>
            <color indexed="81"/>
            <rFont val="Tahoma"/>
            <family val="2"/>
          </rPr>
          <t xml:space="preserve">
</t>
        </r>
      </text>
    </comment>
    <comment ref="G46" authorId="0" shapeId="0" xr:uid="{00000000-0006-0000-1100-000020000000}">
      <text>
        <r>
          <rPr>
            <b/>
            <sz val="9"/>
            <color indexed="81"/>
            <rFont val="Tahoma"/>
            <family val="2"/>
          </rPr>
          <t>Preencher em cada trimestre o n.º de Cabeças Normais (CN) que é aconselhável pastorearem a zona homogénea em causa.
Na conversão de cabeças naturais em cabeças normais devem ser utilizados os coeficientes previstos no Anexo I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r>
          <rPr>
            <sz val="9"/>
            <color indexed="81"/>
            <rFont val="Tahoma"/>
            <family val="2"/>
          </rPr>
          <t xml:space="preserve">
</t>
        </r>
      </text>
    </comment>
    <comment ref="C47" authorId="0" shapeId="0" xr:uid="{D396402A-CAEB-4ABA-8E34-DF795B71F486}">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D47" authorId="0" shapeId="0" xr:uid="{313A07D3-AE25-4149-8F27-728F7D4B4391}">
      <text>
        <r>
          <rPr>
            <b/>
            <sz val="9"/>
            <color indexed="81"/>
            <rFont val="Tahoma"/>
            <family val="2"/>
          </rPr>
          <t>Campo editável nos casos em que a rotação do efetivo apresenta outro período temporal (ex. mensal, bimensal, etc…).</t>
        </r>
      </text>
    </comment>
    <comment ref="E47" authorId="0" shapeId="0" xr:uid="{D70A5388-8F8F-4A6F-9BCC-149ACA967852}">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F47" authorId="0" shapeId="0" xr:uid="{6595509F-9B2E-4506-AEAE-E0AC6149B16A}">
      <text>
        <r>
          <rPr>
            <b/>
            <sz val="9"/>
            <color indexed="81"/>
            <rFont val="Tahoma"/>
            <family val="2"/>
          </rPr>
          <t>Campo editável nos casos em que a rotação do efetivo apresenta outro período temporal (ex. mensal, bimensal, etc…).</t>
        </r>
      </text>
    </comment>
    <comment ref="G47" authorId="0" shapeId="0" xr:uid="{B3593A63-DE28-4FD3-B6EA-64A5DA79B88E}">
      <text>
        <r>
          <rPr>
            <b/>
            <sz val="9"/>
            <color indexed="81"/>
            <rFont val="Tahoma"/>
            <family val="2"/>
          </rPr>
          <t>Campo editável nos casos em que a rotação do efetivo apresenta outro período temporal (ex. mensal, bimensal, etc…).</t>
        </r>
      </text>
    </comment>
    <comment ref="H47" authorId="0" shapeId="0" xr:uid="{616DE527-29B3-40D0-9ADA-0C9F4C36C34E}">
      <text>
        <r>
          <rPr>
            <b/>
            <sz val="9"/>
            <color indexed="81"/>
            <rFont val="Tahoma"/>
            <family val="2"/>
          </rPr>
          <t>Campo editável nos casos em que a rotação do efetivo apresenta outro período temporal (ex. mensal, bimensal, etc…).</t>
        </r>
      </text>
    </comment>
    <comment ref="I47" authorId="0" shapeId="0" xr:uid="{B8B674B4-0E83-4511-AAE0-71AF9B392D78}">
      <text>
        <r>
          <rPr>
            <b/>
            <sz val="9"/>
            <color indexed="81"/>
            <rFont val="Tahoma"/>
            <family val="2"/>
          </rPr>
          <t>Campo editável nos casos em que a rotação do efetivo apresenta outro período temporal (ex. mensal, bimensal, etc…).</t>
        </r>
      </text>
    </comment>
    <comment ref="J47" authorId="0" shapeId="0" xr:uid="{35BC0148-22C2-4465-9BC6-CAD50CA83D86}">
      <text>
        <r>
          <rPr>
            <b/>
            <sz val="9"/>
            <color indexed="81"/>
            <rFont val="Tahoma"/>
            <family val="2"/>
          </rPr>
          <t>Campo editável nos casos em que a rotação do efetivo apresenta outro período temporal (ex. mensal, bimensal, etc…).</t>
        </r>
      </text>
    </comment>
    <comment ref="A56" authorId="0" shapeId="0" xr:uid="{00000000-0006-0000-1100-000029000000}">
      <text>
        <r>
          <rPr>
            <b/>
            <sz val="9"/>
            <color indexed="81"/>
            <rFont val="Tahoma"/>
            <family val="2"/>
          </rPr>
          <t>Preencher com a zona homogénea indicada no quadro 1 anterior como tendo necessidade de intervenção no maneio do pastoreio.</t>
        </r>
      </text>
    </comment>
    <comment ref="B56" authorId="0" shapeId="0" xr:uid="{00000000-0006-0000-1100-00002A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57" authorId="0" shapeId="0" xr:uid="{00000000-0006-0000-1100-00002B000000}">
      <text>
        <r>
          <rPr>
            <b/>
            <sz val="9"/>
            <color indexed="81"/>
            <rFont val="Tahoma"/>
            <family val="2"/>
          </rPr>
          <t>Preencher em cada trimestre o n.º de Cabeças Normais (CN) que é aconselhável pastorearem a zona homogénea em causa.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r>
          <rPr>
            <sz val="9"/>
            <color indexed="81"/>
            <rFont val="Tahoma"/>
            <family val="2"/>
          </rPr>
          <t xml:space="preserve">
</t>
        </r>
      </text>
    </comment>
    <comment ref="C58" authorId="0" shapeId="0" xr:uid="{6B7EAD1D-E6CC-4F57-AA6B-BE2D7FFC8C78}">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D58" authorId="0" shapeId="0" xr:uid="{714277B4-405E-4876-BAD6-BB44FA918013}">
      <text>
        <r>
          <rPr>
            <b/>
            <sz val="9"/>
            <color indexed="81"/>
            <rFont val="Tahoma"/>
            <family val="2"/>
          </rPr>
          <t>Campo editável nos casos em que a rotação do efetivo apresenta outro período temporal (ex. mensal, bimensal, etc…).</t>
        </r>
      </text>
    </comment>
    <comment ref="E58" authorId="0" shapeId="0" xr:uid="{87EE28E1-16CE-4D66-A1DD-D76747574762}">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F58" authorId="0" shapeId="0" xr:uid="{2B2BEC31-0B44-4F2A-AC9C-9274CEC7D0FE}">
      <text>
        <r>
          <rPr>
            <b/>
            <sz val="9"/>
            <color indexed="81"/>
            <rFont val="Tahoma"/>
            <family val="2"/>
          </rPr>
          <t>Campo editável nos casos em que a rotação do efetivo apresenta outro período temporal (ex. mensal, bimensal, etc…).</t>
        </r>
      </text>
    </comment>
    <comment ref="A69" authorId="0" shapeId="0" xr:uid="{00000000-0006-0000-1100-000030000000}">
      <text>
        <r>
          <rPr>
            <b/>
            <sz val="9"/>
            <color indexed="81"/>
            <rFont val="Tahoma"/>
            <family val="2"/>
          </rPr>
          <t>Preencher quando houver necessidade de o beneficiário implementar ações de controlo da vegetação arbustiva nas parcelas candidatas, indicando a sua frequência.
No caso do regime ecológico «maneio da pastagem permanente», as alterações a implementar no maneio do pastoreio devem ser propostas para 3 anos.
No caso da intervenção agroambiental «conservação do solo - pastagens biodiversas, as alterações a implementar no maneio do pastoreio devem ser propostas para 5 anos.</t>
        </r>
        <r>
          <rPr>
            <sz val="9"/>
            <color indexed="81"/>
            <rFont val="Tahoma"/>
            <family val="2"/>
          </rPr>
          <t xml:space="preserve">
</t>
        </r>
      </text>
    </comment>
    <comment ref="A71" authorId="0" shapeId="0" xr:uid="{00000000-0006-0000-1100-000031000000}">
      <text>
        <r>
          <rPr>
            <b/>
            <sz val="9"/>
            <color indexed="81"/>
            <rFont val="Tahoma"/>
            <family val="2"/>
          </rPr>
          <t>Preencher com a zona homogénea indicada no quadro 1 anterior como tendo necessidade de intervenção no controlo da vegetação arbustiva.</t>
        </r>
        <r>
          <rPr>
            <sz val="9"/>
            <color indexed="81"/>
            <rFont val="Tahoma"/>
            <family val="2"/>
          </rPr>
          <t xml:space="preserve">
</t>
        </r>
      </text>
    </comment>
    <comment ref="B71" authorId="0" shapeId="0" xr:uid="{00000000-0006-0000-1100-000032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72" authorId="0" shapeId="0" xr:uid="{00000000-0006-0000-1100-000033000000}">
      <text>
        <r>
          <rPr>
            <b/>
            <sz val="9"/>
            <color indexed="81"/>
            <rFont val="Tahoma"/>
            <family val="2"/>
          </rPr>
          <t>Indicar o grau de infestação (vegetação arbustiva): 
- grau de infestação elevado - ≥ 30%;
- grau de infestação médio – &gt; 15% e &lt; 30%;
- grau de infestação baixo - ≤ 15%</t>
        </r>
        <r>
          <rPr>
            <sz val="9"/>
            <color indexed="81"/>
            <rFont val="Tahoma"/>
            <family val="2"/>
          </rPr>
          <t xml:space="preserve">
</t>
        </r>
      </text>
    </comment>
    <comment ref="D72" authorId="0" shapeId="0" xr:uid="{00000000-0006-0000-1100-000034000000}">
      <text>
        <r>
          <rPr>
            <b/>
            <sz val="9"/>
            <color indexed="81"/>
            <rFont val="Tahoma"/>
            <family val="2"/>
          </rPr>
          <t>Indicar o método/prática a utilizar no controlo da vegetação arbustiva: 
- Corte;
- Arranque;
- Outro.</t>
        </r>
        <r>
          <rPr>
            <sz val="9"/>
            <color indexed="81"/>
            <rFont val="Tahoma"/>
            <family val="2"/>
          </rPr>
          <t xml:space="preserve">
</t>
        </r>
      </text>
    </comment>
    <comment ref="E72" authorId="0" shapeId="0" xr:uid="{00000000-0006-0000-1100-000035000000}">
      <text>
        <r>
          <rPr>
            <b/>
            <sz val="9"/>
            <color indexed="81"/>
            <rFont val="Tahoma"/>
            <family val="2"/>
          </rPr>
          <t>indicar a área da zona homogémea que irá ser intrevencionada em cada um dos anos (área onde irá ser efetuado o controlo da vegetação arbustiva). Caso a intervenção seja realizada na totalidade da zona homogénea preencher com o alor indicado no campo "Área" deste mesmo quadro.</t>
        </r>
        <r>
          <rPr>
            <sz val="9"/>
            <color indexed="81"/>
            <rFont val="Tahoma"/>
            <family val="2"/>
          </rPr>
          <t xml:space="preserve">
</t>
        </r>
      </text>
    </comment>
    <comment ref="F72" authorId="0" shapeId="0" xr:uid="{00000000-0006-0000-1100-000036000000}">
      <text>
        <r>
          <rPr>
            <b/>
            <sz val="9"/>
            <color indexed="81"/>
            <rFont val="Tahoma"/>
            <family val="2"/>
          </rPr>
          <t>Indicar o grau de infestação (vegetação arbustiva): 
- grau de infestação elevado - ≥ 30%;
- grau de infestação médio – &gt; 15% e &lt; 30%;
- grau de infestação baixo - ≤ 15%</t>
        </r>
        <r>
          <rPr>
            <sz val="9"/>
            <color indexed="81"/>
            <rFont val="Tahoma"/>
            <family val="2"/>
          </rPr>
          <t xml:space="preserve">
</t>
        </r>
      </text>
    </comment>
    <comment ref="G72" authorId="0" shapeId="0" xr:uid="{00000000-0006-0000-1100-000037000000}">
      <text>
        <r>
          <rPr>
            <b/>
            <sz val="9"/>
            <color indexed="81"/>
            <rFont val="Tahoma"/>
            <family val="2"/>
          </rPr>
          <t>Indicar o método/prática a utilizar no controlo da vegetação arbustiva: 
- Corte;
- Arranque;
- Outro.</t>
        </r>
        <r>
          <rPr>
            <sz val="9"/>
            <color indexed="81"/>
            <rFont val="Tahoma"/>
            <family val="2"/>
          </rPr>
          <t xml:space="preserve">
</t>
        </r>
      </text>
    </comment>
    <comment ref="H72" authorId="0" shapeId="0" xr:uid="{00000000-0006-0000-1100-000038000000}">
      <text>
        <r>
          <rPr>
            <b/>
            <sz val="9"/>
            <color indexed="81"/>
            <rFont val="Tahoma"/>
            <family val="2"/>
          </rPr>
          <t>indicar a área da zona homogémea que irá ser intrevencionada em cada um dos anos (área onde irá ser efetuado o controlo da vegetação arbustiva). Caso a intervenção seja realizada na totalidade da zona homogénea preencher com o alor indicado no campo "Área" deste mesmo quadro.</t>
        </r>
        <r>
          <rPr>
            <sz val="9"/>
            <color indexed="81"/>
            <rFont val="Tahoma"/>
            <family val="2"/>
          </rPr>
          <t xml:space="preserve">
</t>
        </r>
      </text>
    </comment>
    <comment ref="A80" authorId="0" shapeId="0" xr:uid="{00000000-0006-0000-1100-000039000000}">
      <text>
        <r>
          <rPr>
            <b/>
            <sz val="9"/>
            <color indexed="81"/>
            <rFont val="Tahoma"/>
            <family val="2"/>
          </rPr>
          <t>Preencher com a zona homogénea indicada no quadro 1 anterior como tendo necessidade de intervenção no controlo da vegetação arbustiva.</t>
        </r>
        <r>
          <rPr>
            <sz val="9"/>
            <color indexed="81"/>
            <rFont val="Tahoma"/>
            <family val="2"/>
          </rPr>
          <t xml:space="preserve">
</t>
        </r>
      </text>
    </comment>
    <comment ref="B80" authorId="0" shapeId="0" xr:uid="{00000000-0006-0000-1100-00003A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81" authorId="0" shapeId="0" xr:uid="{00000000-0006-0000-1100-00003B000000}">
      <text>
        <r>
          <rPr>
            <b/>
            <sz val="9"/>
            <color indexed="81"/>
            <rFont val="Tahoma"/>
            <family val="2"/>
          </rPr>
          <t>Indicar o grau de infestação (vegetação arbustiva): 
- grau de infestação elevado - ≥ 30%;
- grau de infestação médio – &gt; 15% e &lt; 30%;
- grau de infestação baixo - ≤ 15%</t>
        </r>
        <r>
          <rPr>
            <sz val="9"/>
            <color indexed="81"/>
            <rFont val="Tahoma"/>
            <family val="2"/>
          </rPr>
          <t xml:space="preserve">
</t>
        </r>
      </text>
    </comment>
    <comment ref="D81" authorId="0" shapeId="0" xr:uid="{00000000-0006-0000-1100-00003C000000}">
      <text>
        <r>
          <rPr>
            <b/>
            <sz val="9"/>
            <color indexed="81"/>
            <rFont val="Tahoma"/>
            <family val="2"/>
          </rPr>
          <t>Indicar o método/prática a utilizar no controlo da vegetação arbustiva: 
- Corte;
- Arranque;
- Outro.</t>
        </r>
        <r>
          <rPr>
            <sz val="9"/>
            <color indexed="81"/>
            <rFont val="Tahoma"/>
            <family val="2"/>
          </rPr>
          <t xml:space="preserve">
</t>
        </r>
      </text>
    </comment>
    <comment ref="E81" authorId="0" shapeId="0" xr:uid="{00000000-0006-0000-1100-00003D000000}">
      <text>
        <r>
          <rPr>
            <b/>
            <sz val="9"/>
            <color indexed="81"/>
            <rFont val="Tahoma"/>
            <family val="2"/>
          </rPr>
          <t>indicar a área da zona homogémea que irá ser intrevencionada em cada um dos anos (área onde irá ser efetuado o controlo da vegetação arbustiva). Caso a intervenção seja realizada na totalidade da zona homogénea preencher com o alor indicado no campo "Área" deste mesmo quadro.</t>
        </r>
        <r>
          <rPr>
            <sz val="9"/>
            <color indexed="81"/>
            <rFont val="Tahoma"/>
            <family val="2"/>
          </rPr>
          <t xml:space="preserve">
</t>
        </r>
      </text>
    </comment>
    <comment ref="F81" authorId="0" shapeId="0" xr:uid="{00000000-0006-0000-1100-00003E000000}">
      <text>
        <r>
          <rPr>
            <b/>
            <sz val="9"/>
            <color indexed="81"/>
            <rFont val="Tahoma"/>
            <family val="2"/>
          </rPr>
          <t>Indicar o grau de infestação (vegetação arbustiva): 
- grau de infestação elevado - ≥ 30%;
- grau de infestação médio – &gt; 15% e &lt; 30%;
- grau de infestação baixo - ≤ 15%</t>
        </r>
        <r>
          <rPr>
            <sz val="9"/>
            <color indexed="81"/>
            <rFont val="Tahoma"/>
            <family val="2"/>
          </rPr>
          <t xml:space="preserve">
</t>
        </r>
      </text>
    </comment>
    <comment ref="G81" authorId="0" shapeId="0" xr:uid="{00000000-0006-0000-1100-00003F000000}">
      <text>
        <r>
          <rPr>
            <b/>
            <sz val="9"/>
            <color indexed="81"/>
            <rFont val="Tahoma"/>
            <family val="2"/>
          </rPr>
          <t>Indicar o método/prática a utilizar no controlo da vegetação arbustiva: 
- Corte;
- Arranque;
- Outro.</t>
        </r>
        <r>
          <rPr>
            <sz val="9"/>
            <color indexed="81"/>
            <rFont val="Tahoma"/>
            <family val="2"/>
          </rPr>
          <t xml:space="preserve">
</t>
        </r>
      </text>
    </comment>
    <comment ref="H81" authorId="0" shapeId="0" xr:uid="{00000000-0006-0000-1100-000040000000}">
      <text>
        <r>
          <rPr>
            <b/>
            <sz val="9"/>
            <color indexed="81"/>
            <rFont val="Tahoma"/>
            <family val="2"/>
          </rPr>
          <t>indicar a área da zona homogémea que irá ser intrevencionada em cada um dos anos (área onde irá ser efetuado o controlo da vegetação arbustiva). Caso a intervenção seja realizada na totalidade da zona homogénea preencher com o alor indicado no campo "Área" deste mesmo quadro.</t>
        </r>
        <r>
          <rPr>
            <sz val="9"/>
            <color indexed="81"/>
            <rFont val="Tahoma"/>
            <family val="2"/>
          </rPr>
          <t xml:space="preserve">
</t>
        </r>
      </text>
    </comment>
    <comment ref="A89" authorId="0" shapeId="0" xr:uid="{00000000-0006-0000-1100-000041000000}">
      <text>
        <r>
          <rPr>
            <b/>
            <sz val="9"/>
            <color indexed="81"/>
            <rFont val="Tahoma"/>
            <family val="2"/>
          </rPr>
          <t>Preencher com a zona homogénea indicada no quadro 1 anterior como tendo necessidade de intervenção no controlo da vegetação arbustiva.</t>
        </r>
        <r>
          <rPr>
            <sz val="9"/>
            <color indexed="81"/>
            <rFont val="Tahoma"/>
            <family val="2"/>
          </rPr>
          <t xml:space="preserve">
</t>
        </r>
      </text>
    </comment>
    <comment ref="B89" authorId="0" shapeId="0" xr:uid="{00000000-0006-0000-1100-000042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90" authorId="0" shapeId="0" xr:uid="{00000000-0006-0000-1100-000043000000}">
      <text>
        <r>
          <rPr>
            <b/>
            <sz val="9"/>
            <color indexed="81"/>
            <rFont val="Tahoma"/>
            <family val="2"/>
          </rPr>
          <t>Indicar o grau de infestação (vegetação arbustiva): 
- grau de infestação elevado - ≥ 30%;
- grau de infestação médio – &gt; 15% e &lt; 30%;
- grau de infestação baixo - ≤ 15%</t>
        </r>
        <r>
          <rPr>
            <sz val="9"/>
            <color indexed="81"/>
            <rFont val="Tahoma"/>
            <family val="2"/>
          </rPr>
          <t xml:space="preserve">
</t>
        </r>
      </text>
    </comment>
    <comment ref="D90" authorId="0" shapeId="0" xr:uid="{00000000-0006-0000-1100-000044000000}">
      <text>
        <r>
          <rPr>
            <b/>
            <sz val="9"/>
            <color indexed="81"/>
            <rFont val="Tahoma"/>
            <family val="2"/>
          </rPr>
          <t>Indicar o método/prática a utilizar no controlo da vegetação arbustiva: 
- Corte;
- Arranque;
- Outro.</t>
        </r>
        <r>
          <rPr>
            <sz val="9"/>
            <color indexed="81"/>
            <rFont val="Tahoma"/>
            <family val="2"/>
          </rPr>
          <t xml:space="preserve">
</t>
        </r>
      </text>
    </comment>
    <comment ref="E90" authorId="0" shapeId="0" xr:uid="{00000000-0006-0000-1100-000045000000}">
      <text>
        <r>
          <rPr>
            <b/>
            <sz val="9"/>
            <color indexed="81"/>
            <rFont val="Tahoma"/>
            <family val="2"/>
          </rPr>
          <t>indicar a área da zona homogémea que irá ser intrevencionada em cada um dos anos (área onde irá ser efetuado o controlo da vegetação arbustiva). Caso a intervenção seja realizada na totalidade da zona homogénea preencher com o alor indicado no campo "Área" deste mesmo quadro.</t>
        </r>
        <r>
          <rPr>
            <sz val="9"/>
            <color indexed="81"/>
            <rFont val="Tahoma"/>
            <family val="2"/>
          </rPr>
          <t xml:space="preserve">
</t>
        </r>
      </text>
    </comment>
    <comment ref="A102" authorId="0" shapeId="0" xr:uid="{00000000-0006-0000-1100-000046000000}">
      <text>
        <r>
          <rPr>
            <b/>
            <sz val="9"/>
            <color indexed="81"/>
            <rFont val="Tahoma"/>
            <family val="2"/>
          </rPr>
          <t>Preencher quando houver necessidade de o beneficiário implementar ações de controlo da vegetação arbustiva nas parcelas candidatas, indicando a sua frequência.
No caso do regime ecológico «maneio da pastagem permanente», as alterações as intervenções previstas no âmbito da melhoria da composição floristica das pastagens (sementeira, ressementeira ou melhoria da pastagem) devem ser propostas considerando o período de 3 anos.
No caso da intervenção agroambiental «conservação do solo - pastagens biodiversas, as intervenções que visem a ressementeira ou melhoria da pastagem devem ser propostas considerando que o compromisso assumido é de 5 anos.</t>
        </r>
        <r>
          <rPr>
            <sz val="9"/>
            <color indexed="81"/>
            <rFont val="Tahoma"/>
            <family val="2"/>
          </rPr>
          <t xml:space="preserve">
</t>
        </r>
      </text>
    </comment>
    <comment ref="A104" authorId="0" shapeId="0" xr:uid="{00000000-0006-0000-1100-000047000000}">
      <text>
        <r>
          <rPr>
            <b/>
            <sz val="9"/>
            <color indexed="81"/>
            <rFont val="Tahoma"/>
            <family val="2"/>
          </rPr>
          <t>Preencher com a zona homogénea indicada no quadro 1 anterior como tendo necessidade de intervenção na Sementeira/ ressementeira/melhoria da pastagem.</t>
        </r>
        <r>
          <rPr>
            <sz val="9"/>
            <color indexed="81"/>
            <rFont val="Tahoma"/>
            <family val="2"/>
          </rPr>
          <t xml:space="preserve">
</t>
        </r>
      </text>
    </comment>
    <comment ref="B104" authorId="0" shapeId="0" xr:uid="{00000000-0006-0000-1100-000048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105" authorId="0" shapeId="0" xr:uid="{00000000-0006-0000-1100-000049000000}">
      <text>
        <r>
          <rPr>
            <b/>
            <sz val="9"/>
            <color indexed="81"/>
            <rFont val="Tahoma"/>
            <family val="2"/>
          </rPr>
          <t>Indicar o tipo de intervenção proposto para melhorar a composição florística da pastagem, quando se verificar que a zona homogénea necessita desse tipo de intervenção: 
- Sementeira (apenas admissível no regime ecológico «maneio da pastagem permanente);
- Ressementeira;
- Melhoria da pastagem (sementeira de determinadas espécies que se revelem mais adequadas para o efetivo pecuário, tipo de solo, destino da produção pecuária, etc) .</t>
        </r>
        <r>
          <rPr>
            <sz val="9"/>
            <color indexed="81"/>
            <rFont val="Tahoma"/>
            <family val="2"/>
          </rPr>
          <t xml:space="preserve">
</t>
        </r>
      </text>
    </comment>
    <comment ref="E105" authorId="0" shapeId="0" xr:uid="{00000000-0006-0000-1100-00004A000000}">
      <text>
        <r>
          <rPr>
            <b/>
            <sz val="9"/>
            <color indexed="81"/>
            <rFont val="Tahoma"/>
            <family val="2"/>
          </rPr>
          <t>Indicar o tipo de intervenção proposto para melhorar a composição florística da pastagem, quando se verificar que a zona homogénea necessita desse tipo de intervenção: 
- Sementeira (apenas admissível no regime ecológico «maneio da pastagem permanente);
- Ressementeira;
- Melhoria da pastagem (sementeira de determinadas espécies que se revelem mais adequadas para o efetivo pecuário, tipo de solo, destino da produção pecuária, etc) .</t>
        </r>
        <r>
          <rPr>
            <sz val="9"/>
            <color indexed="81"/>
            <rFont val="Tahoma"/>
            <family val="2"/>
          </rPr>
          <t xml:space="preserve">
</t>
        </r>
      </text>
    </comment>
    <comment ref="A114" authorId="0" shapeId="0" xr:uid="{00000000-0006-0000-1100-00004B000000}">
      <text>
        <r>
          <rPr>
            <b/>
            <sz val="9"/>
            <color indexed="81"/>
            <rFont val="Tahoma"/>
            <family val="2"/>
          </rPr>
          <t>Preencher com a zona homogénea indicada no quadro 1 anterior como tendo necessidade de intervenção na Sementeira/ ressementeira/melhoria da pastagem.</t>
        </r>
        <r>
          <rPr>
            <sz val="9"/>
            <color indexed="81"/>
            <rFont val="Tahoma"/>
            <family val="2"/>
          </rPr>
          <t xml:space="preserve">
</t>
        </r>
      </text>
    </comment>
    <comment ref="B114" authorId="0" shapeId="0" xr:uid="{00000000-0006-0000-1100-00004C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115" authorId="0" shapeId="0" xr:uid="{00000000-0006-0000-1100-00004D000000}">
      <text>
        <r>
          <rPr>
            <b/>
            <sz val="9"/>
            <color indexed="81"/>
            <rFont val="Tahoma"/>
            <family val="2"/>
          </rPr>
          <t>Indicar o tipo de intervenção proposto para melhorar a composição florística da pastagem, quando se verificar que a zona homogénea necessita desse tipo de intervenção: 
- Sementeira (apenas admissível no regime ecológico «maneio da pastagem permanente);
- Ressementeira;
- Melhoria da pastagem (sementeira de determinadas espécies que se revelem mais adequadas para o efetivo pecuário, tipo de solo, destino da produção pecuária, etc) .</t>
        </r>
        <r>
          <rPr>
            <sz val="9"/>
            <color indexed="81"/>
            <rFont val="Tahoma"/>
            <family val="2"/>
          </rPr>
          <t xml:space="preserve">
</t>
        </r>
      </text>
    </comment>
    <comment ref="E115" authorId="0" shapeId="0" xr:uid="{00000000-0006-0000-1100-00004E000000}">
      <text>
        <r>
          <rPr>
            <b/>
            <sz val="9"/>
            <color indexed="81"/>
            <rFont val="Tahoma"/>
            <family val="2"/>
          </rPr>
          <t>Indicar o tipo de intervenção proposto para melhorar a composição florística da pastagem, quando se verificar que a zona homogénea necessita desse tipo de intervenção: 
- Sementeira (apenas admissível no regime ecológico «maneio da pastagem permanente);
- Ressementeira;
- Melhoria da pastagem (sementeira de determinadas espécies que se revelem mais adequadas para o efetivo pecuário, tipo de solo, destino da produção pecuária, etc) .</t>
        </r>
        <r>
          <rPr>
            <sz val="9"/>
            <color indexed="81"/>
            <rFont val="Tahoma"/>
            <family val="2"/>
          </rPr>
          <t xml:space="preserve">
</t>
        </r>
      </text>
    </comment>
    <comment ref="A124" authorId="0" shapeId="0" xr:uid="{00000000-0006-0000-1100-00004F000000}">
      <text>
        <r>
          <rPr>
            <b/>
            <sz val="9"/>
            <color indexed="81"/>
            <rFont val="Tahoma"/>
            <family val="2"/>
          </rPr>
          <t>Preencher com a zona homogénea indicada no quadro 1 anterior como tendo necessidade de intervenção na Sementeira/ ressementeira/melhoria da pastagem.</t>
        </r>
        <r>
          <rPr>
            <sz val="9"/>
            <color indexed="81"/>
            <rFont val="Tahoma"/>
            <family val="2"/>
          </rPr>
          <t xml:space="preserve">
</t>
        </r>
      </text>
    </comment>
    <comment ref="B124" authorId="0" shapeId="0" xr:uid="{00000000-0006-0000-1100-000050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C125" authorId="0" shapeId="0" xr:uid="{00000000-0006-0000-1100-000051000000}">
      <text>
        <r>
          <rPr>
            <b/>
            <sz val="9"/>
            <color indexed="81"/>
            <rFont val="Tahoma"/>
            <family val="2"/>
          </rPr>
          <t>Indicar o tipo de intervenção proposto para melhorar a composição florística da pastagem, quando se verificar que a zona homogénea necessita desse tipo de intervenção: 
- Sementeira (apenas admissível no regime ecológico «maneio da pastagem permanente);
- Ressementeira;
- Melhoria da pastagem (sementeira de determinadas espécies que se revelem mais adequadas para o efetivo pecuário, tipo de solo, destino da produção pecuária, etc) .</t>
        </r>
        <r>
          <rPr>
            <sz val="9"/>
            <color indexed="81"/>
            <rFont val="Tahoma"/>
            <family val="2"/>
          </rPr>
          <t xml:space="preserve">
</t>
        </r>
      </text>
    </comment>
    <comment ref="A142" authorId="0" shapeId="0" xr:uid="{00000000-0006-0000-1100-000052000000}">
      <text>
        <r>
          <rPr>
            <b/>
            <sz val="9"/>
            <color indexed="81"/>
            <rFont val="Tahoma"/>
            <family val="2"/>
          </rPr>
          <t>Preencher os campos infra quando aplicável e se justifiquem intervenções na gestão da pastagem para além das identificadas nos quadros 2, 3 e 4 ou quando necessário complementar a informação disponibilizados nos referidos quadros, de acordo com o detalhe disponibilizado nos campos infra.
No caso do regime ecológico «maneio da pastagem permanente», no preenchimento dos campos deve ser considerado o período de 3 anos.
No caso da intervenção agroambiental «conservação do solo - pastagens biodiversas, no preenchimento dos campos deve ser considerado o período de 5 anos.</t>
        </r>
      </text>
    </comment>
    <comment ref="A144" authorId="0" shapeId="0" xr:uid="{00000000-0006-0000-1100-000053000000}">
      <text>
        <r>
          <rPr>
            <b/>
            <sz val="9"/>
            <color indexed="81"/>
            <rFont val="Tahoma"/>
            <family val="2"/>
          </rPr>
          <t>Quadro a preencher apenas para o regime ecológico «maneio da pastagem permanente», quando aplicável (deve estar alinhado com o previsto no quadro 4).
O quadro deve ser replicado tantas vezes quantos os anos identificados no Quadro 4 como tendo operações de sementeira/ressementeira ou melhoria da pastagem.</t>
        </r>
      </text>
    </comment>
    <comment ref="A146" authorId="0" shapeId="0" xr:uid="{00000000-0006-0000-1100-000054000000}">
      <text>
        <r>
          <rPr>
            <b/>
            <sz val="9"/>
            <color indexed="81"/>
            <rFont val="Tahoma"/>
            <family val="2"/>
          </rPr>
          <t>Preencher com a zona homogénea indicada no quadro 4 anterior como tendo necessidade de intervenção na Sementeira/ ressementeira/melhoria da pastagem.</t>
        </r>
        <r>
          <rPr>
            <sz val="9"/>
            <color indexed="81"/>
            <rFont val="Tahoma"/>
            <family val="2"/>
          </rPr>
          <t xml:space="preserve">
</t>
        </r>
      </text>
    </comment>
    <comment ref="B146" authorId="0" shapeId="0" xr:uid="{00000000-0006-0000-1100-000055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D147" authorId="0" shapeId="0" xr:uid="{00000000-0006-0000-1100-000056000000}">
      <text>
        <r>
          <rPr>
            <b/>
            <sz val="9"/>
            <color indexed="81"/>
            <rFont val="Tahoma"/>
            <family val="2"/>
          </rPr>
          <t>Campo descritivo a preencher com a identificação das espécies pratenses a instalar. As espécies podem ser identificadas pelo seu nome cientifico ou pelo nome vulgar, sendo cada espécie separada por (;).</t>
        </r>
      </text>
    </comment>
    <comment ref="A153" authorId="0" shapeId="0" xr:uid="{00000000-0006-0000-1100-000057000000}">
      <text>
        <r>
          <rPr>
            <b/>
            <sz val="9"/>
            <color indexed="81"/>
            <rFont val="Tahoma"/>
            <family val="2"/>
          </rPr>
          <t>Quadro a preencher, quando aplicável:
1 -  Tendo em consideração o valor de ph registado no quadro 1.1 do Anexo 1 - Plano de Fertilização e as recomendações constantes no boletim com os resultados das análises de terras (deve estar alinhado com o previsto no quadro 1 do Plano de Gestão do Pastoreio);
2 - Quando se verificar, pela observação visual da pastagem, a necessidade pontual (numa determinada área) da aplicação de fertilizante não previsto no Anexo 1 - Plano de Fertilização (deve estar alinhado com o previsto no quadro 1 do Plano de Gestão do Pastoreio).
O quadro 5.2 deve ser replicado tantas vezes quantos os anos previstos para efetuar a calagem ou a aplicação adicional de outros fertilizantes (casos em que esta intervenção seja fraccionada no tempo).</t>
        </r>
      </text>
    </comment>
    <comment ref="A155" authorId="0" shapeId="0" xr:uid="{00000000-0006-0000-1100-000058000000}">
      <text>
        <r>
          <rPr>
            <b/>
            <sz val="9"/>
            <color indexed="81"/>
            <rFont val="Tahoma"/>
            <family val="2"/>
          </rPr>
          <t>Preencher com a zona homogénea indicada no quadro 4 anterior como tendo necessidade decalagem ou de aplicação de outros fertilizantes que não os previstos no Plano de Fertilização.</t>
        </r>
        <r>
          <rPr>
            <sz val="9"/>
            <color indexed="81"/>
            <rFont val="Tahoma"/>
            <family val="2"/>
          </rPr>
          <t xml:space="preserve">
</t>
        </r>
      </text>
    </comment>
    <comment ref="B155" authorId="0" shapeId="0" xr:uid="{00000000-0006-0000-1100-000059000000}">
      <text>
        <r>
          <rPr>
            <b/>
            <sz val="9"/>
            <color indexed="81"/>
            <rFont val="Tahoma"/>
            <family val="2"/>
          </rPr>
          <t>Preencher com a área correspondente à zona homogénea (soma da área de todas as subparcelas que constituem a zona homogénea).</t>
        </r>
        <r>
          <rPr>
            <sz val="9"/>
            <color indexed="81"/>
            <rFont val="Tahoma"/>
            <family val="2"/>
          </rPr>
          <t xml:space="preserve">
</t>
        </r>
      </text>
    </comment>
    <comment ref="D156" authorId="0" shapeId="0" xr:uid="{00000000-0006-0000-1100-00005A000000}">
      <text>
        <r>
          <rPr>
            <b/>
            <sz val="9"/>
            <color indexed="81"/>
            <rFont val="Tahoma"/>
            <family val="2"/>
          </rPr>
          <t>Preencher com a identificação do corretivo ou outro fertilizante aplicado, quando não previsto no Anexo 1 - Plano de Fertilização (deve estar alinhado com o previsto no quadro 1 do Plano de Gestão do Pastoreio).</t>
        </r>
        <r>
          <rPr>
            <sz val="9"/>
            <color indexed="81"/>
            <rFont val="Tahoma"/>
            <family val="2"/>
          </rPr>
          <t xml:space="preserve">
</t>
        </r>
      </text>
    </comment>
    <comment ref="A162" authorId="0" shapeId="0" xr:uid="{00000000-0006-0000-1100-00005B000000}">
      <text>
        <r>
          <rPr>
            <b/>
            <sz val="9"/>
            <color indexed="81"/>
            <rFont val="Tahoma"/>
            <family val="2"/>
          </rPr>
          <t>Quadro a preencher apenas quando na zona homogénea existir coberto arbóreo. Por cada zona homogénea identificar as espécies arbóreas presentes, as ações de preservação adequadas a cada uma das espécies, bem como o período em que as mesmas devem ser efetuadas e sua períocidade.</t>
        </r>
        <r>
          <rPr>
            <sz val="9"/>
            <color indexed="81"/>
            <rFont val="Tahoma"/>
            <family val="2"/>
          </rPr>
          <t xml:space="preserve">
</t>
        </r>
      </text>
    </comment>
    <comment ref="A164" authorId="1" shapeId="0" xr:uid="{00000000-0006-0000-1100-00005C000000}">
      <text>
        <r>
          <rPr>
            <b/>
            <sz val="9"/>
            <color indexed="81"/>
            <rFont val="Tahoma"/>
            <family val="2"/>
          </rPr>
          <t>Preencher com a zona homogénea onde exista espécies arbóreas que exijam ações de preservação periódicas recomendáveis para o seu bom estado vegetativo.</t>
        </r>
      </text>
    </comment>
    <comment ref="B164" authorId="0" shapeId="0" xr:uid="{00000000-0006-0000-1100-00005D000000}">
      <text>
        <r>
          <rPr>
            <b/>
            <sz val="9"/>
            <color indexed="81"/>
            <rFont val="Tahoma"/>
            <family val="2"/>
          </rPr>
          <t>Preencher com a identificação (nome vulgar ou denominação cientifica) das espécies arbóreas existentes na zona homogénea.
Quando na mesma zona homogénea existir mais do que uma espécie arbórea que carece de ações de preservação, os seus nomes devem ser separados por (;).</t>
        </r>
      </text>
    </comment>
    <comment ref="C164" authorId="0" shapeId="0" xr:uid="{00000000-0006-0000-1100-00005E000000}">
      <text>
        <r>
          <rPr>
            <b/>
            <sz val="9"/>
            <color indexed="81"/>
            <rFont val="Tahoma"/>
            <family val="2"/>
          </rPr>
          <t>Campo descritivo, que deve listar as ações de preservação aconselhadas por cada uma das espécies existentes na zona homogénea.</t>
        </r>
      </text>
    </comment>
    <comment ref="D164" authorId="0" shapeId="0" xr:uid="{00000000-0006-0000-1100-00005F000000}">
      <text>
        <r>
          <rPr>
            <b/>
            <sz val="9"/>
            <color indexed="81"/>
            <rFont val="Tahoma"/>
            <family val="2"/>
          </rPr>
          <t>Campo descritivo onde se deve registar a época do ano aconselhada para a realização das ações de preservação aconselhadas.</t>
        </r>
      </text>
    </comment>
    <comment ref="E164" authorId="0" shapeId="0" xr:uid="{00000000-0006-0000-1100-000060000000}">
      <text>
        <r>
          <rPr>
            <b/>
            <sz val="8"/>
            <color indexed="81"/>
            <rFont val="Verdana"/>
            <family val="2"/>
          </rPr>
          <t>Indicar a períocidade com que as ações de preservação devem ser executadas, ex. anual, bienal, trianual, etc...</t>
        </r>
        <r>
          <rPr>
            <sz val="9"/>
            <color indexed="81"/>
            <rFont val="Tahoma"/>
            <family val="2"/>
          </rPr>
          <t xml:space="preserve">
</t>
        </r>
      </text>
    </comment>
    <comment ref="A172" authorId="0" shapeId="0" xr:uid="{00000000-0006-0000-1100-000061000000}">
      <text>
        <r>
          <rPr>
            <b/>
            <sz val="9"/>
            <color indexed="81"/>
            <rFont val="Tahoma"/>
            <family val="2"/>
          </rPr>
          <t>Campo descritivo a preencher apenas quando são necessárias ações distintas das identificadas nos quadros anteriores, tais como melhorar a gestão da rega (caso de pastagens regadas) ou reformulação da fertilização a efetuar.
Identificar as subparcelas/zona homogénea onde as ações são necessárias, ações a implementar e períocidade, quando aplicável.</t>
        </r>
        <r>
          <rPr>
            <sz val="9"/>
            <color indexed="81"/>
            <rFont val="Tahoma"/>
            <family val="2"/>
          </rPr>
          <t xml:space="preserve">
</t>
        </r>
      </text>
    </comment>
    <comment ref="A174" authorId="1" shapeId="0" xr:uid="{00000000-0006-0000-1100-000062000000}">
      <text>
        <r>
          <rPr>
            <b/>
            <sz val="9"/>
            <color indexed="81"/>
            <rFont val="Tahoma"/>
            <family val="2"/>
          </rPr>
          <t>Preencher com a zona homogénea onde são necessárias ações distintas das identificadas nos quadros anteriores.</t>
        </r>
      </text>
    </comment>
    <comment ref="C174" authorId="0" shapeId="0" xr:uid="{00000000-0006-0000-1100-000063000000}">
      <text>
        <r>
          <rPr>
            <b/>
            <sz val="9"/>
            <color indexed="81"/>
            <rFont val="Tahoma"/>
            <family val="2"/>
          </rPr>
          <t>Campo descritivo, que deve identificar a ação a implementar para melhoria do estado geral da pastagem.</t>
        </r>
      </text>
    </comment>
    <comment ref="D174" authorId="0" shapeId="0" xr:uid="{00000000-0006-0000-1100-000064000000}">
      <text>
        <r>
          <rPr>
            <b/>
            <sz val="8"/>
            <color indexed="81"/>
            <rFont val="Verdana"/>
            <family val="2"/>
          </rPr>
          <t>Indicar o ano em que a ação deve ser implementada ou a períocidade com que a ação de melhoria deve ser executada, ex. anual, bienal, trianual, etc...</t>
        </r>
        <r>
          <rPr>
            <sz val="9"/>
            <color indexed="81"/>
            <rFont val="Tahoma"/>
            <family val="2"/>
          </rPr>
          <t xml:space="preserve">
</t>
        </r>
      </text>
    </comment>
    <comment ref="A187" authorId="0" shapeId="0" xr:uid="{00000000-0006-0000-1100-000065000000}">
      <text>
        <r>
          <rPr>
            <b/>
            <sz val="9"/>
            <color indexed="81"/>
            <rFont val="Tahoma"/>
            <family val="2"/>
          </rPr>
          <t>Quadro que complementa a informação prestada no quadro 4 fornecendo a fundamentação para as intervenções nele propostas (sementeira, ressementeira ou melhoria da pastagem permanente.</t>
        </r>
        <r>
          <rPr>
            <sz val="9"/>
            <color indexed="81"/>
            <rFont val="Tahoma"/>
            <family val="2"/>
          </rPr>
          <t xml:space="preserve">
</t>
        </r>
      </text>
    </comment>
    <comment ref="B187" authorId="0" shapeId="0" xr:uid="{00000000-0006-0000-1100-000066000000}">
      <text>
        <r>
          <rPr>
            <b/>
            <sz val="9"/>
            <color indexed="81"/>
            <rFont val="Tahoma"/>
            <family val="2"/>
          </rPr>
          <t>Preencher de acordo com os elementos preenchidos no quadro 4.</t>
        </r>
        <r>
          <rPr>
            <sz val="9"/>
            <color indexed="81"/>
            <rFont val="Tahoma"/>
            <family val="2"/>
          </rPr>
          <t xml:space="preserve">
</t>
        </r>
      </text>
    </comment>
    <comment ref="C187" authorId="0" shapeId="0" xr:uid="{00000000-0006-0000-1100-000067000000}">
      <text>
        <r>
          <rPr>
            <b/>
            <sz val="9"/>
            <color indexed="81"/>
            <rFont val="Tahoma"/>
            <family val="2"/>
          </rPr>
          <t>Preencher de acordo com os elementos preenchidos no quadro 4.</t>
        </r>
        <r>
          <rPr>
            <sz val="9"/>
            <color indexed="81"/>
            <rFont val="Tahoma"/>
            <family val="2"/>
          </rPr>
          <t xml:space="preserve">
</t>
        </r>
      </text>
    </comment>
    <comment ref="D187" authorId="0" shapeId="0" xr:uid="{00000000-0006-0000-1100-000068000000}">
      <text>
        <r>
          <rPr>
            <b/>
            <sz val="9"/>
            <color indexed="81"/>
            <rFont val="Tahoma"/>
            <family val="2"/>
          </rPr>
          <t>Preencher de acordo com os elementos preenchidos no quadro 4.</t>
        </r>
        <r>
          <rPr>
            <sz val="9"/>
            <color indexed="81"/>
            <rFont val="Tahoma"/>
            <family val="2"/>
          </rPr>
          <t xml:space="preserve">
</t>
        </r>
      </text>
    </comment>
    <comment ref="E187" authorId="0" shapeId="0" xr:uid="{00000000-0006-0000-1100-000069000000}">
      <text>
        <r>
          <rPr>
            <b/>
            <sz val="9"/>
            <color indexed="81"/>
            <rFont val="Tahoma"/>
            <family val="2"/>
          </rPr>
          <t>Campo descritivo onde deve ser registada a fundamentação técnica para a intervenção proposta.</t>
        </r>
        <r>
          <rPr>
            <sz val="9"/>
            <color indexed="81"/>
            <rFont val="Tahoma"/>
            <family val="2"/>
          </rPr>
          <t xml:space="preserve">
</t>
        </r>
      </text>
    </comment>
    <comment ref="A195" authorId="0" shapeId="0" xr:uid="{00000000-0006-0000-1100-00006A000000}">
      <text>
        <r>
          <rPr>
            <b/>
            <sz val="9"/>
            <color indexed="81"/>
            <rFont val="Tahoma"/>
            <family val="2"/>
          </rPr>
          <t xml:space="preserve">Preencher quando houver necessidade de o beneficiário instalar estruturas fixas ou móveis que facilitem o condicionamento do efetivo pecuário nas pastagens ou de instalar pontos de água, conforme identificado no quadro 1.
</t>
        </r>
        <r>
          <rPr>
            <sz val="9"/>
            <color indexed="81"/>
            <rFont val="Tahoma"/>
            <family val="2"/>
          </rPr>
          <t xml:space="preserve">
</t>
        </r>
      </text>
    </comment>
    <comment ref="B195" authorId="0" shapeId="0" xr:uid="{00000000-0006-0000-1100-00006B000000}">
      <text>
        <r>
          <rPr>
            <b/>
            <sz val="9"/>
            <color indexed="81"/>
            <rFont val="Tahoma"/>
            <family val="2"/>
          </rPr>
          <t>Identificar o ano em que estas ações devem ser implementadas</t>
        </r>
        <r>
          <rPr>
            <sz val="9"/>
            <color indexed="81"/>
            <rFont val="Tahoma"/>
            <family val="2"/>
          </rPr>
          <t xml:space="preserve">
</t>
        </r>
      </text>
    </comment>
    <comment ref="C195" authorId="0" shapeId="0" xr:uid="{00000000-0006-0000-1100-00006C000000}">
      <text>
        <r>
          <rPr>
            <b/>
            <sz val="9"/>
            <color indexed="81"/>
            <rFont val="Tahoma"/>
            <family val="2"/>
          </rPr>
          <t>Indicar a subparcela ou zona homogénea onde deve ser realizada a melhoria do parqueamento ou a instalação de pontos de água.</t>
        </r>
        <r>
          <rPr>
            <sz val="9"/>
            <color indexed="81"/>
            <rFont val="Tahoma"/>
            <family val="2"/>
          </rPr>
          <t xml:space="preserve">
</t>
        </r>
      </text>
    </comment>
    <comment ref="D195" authorId="0" shapeId="0" xr:uid="{00000000-0006-0000-1100-00006D000000}">
      <text>
        <r>
          <rPr>
            <b/>
            <sz val="9"/>
            <color indexed="81"/>
            <rFont val="Tahoma"/>
            <family val="2"/>
          </rPr>
          <t>Identificar a tipologia da intervenção e forma:
Parqueamento
- cercas fixas;
- cercas móveis;
- cercas elétricas;
- Outras.
Pontos de água
- Bebedouro;
- Charca;
- Cisterna;
- Tanque;
- Reservatório;
- Outros.</t>
        </r>
        <r>
          <rPr>
            <sz val="9"/>
            <color indexed="81"/>
            <rFont val="Tahoma"/>
            <family val="2"/>
          </rPr>
          <t xml:space="preserve">
</t>
        </r>
      </text>
    </comment>
    <comment ref="E195" authorId="0" shapeId="0" xr:uid="{00000000-0006-0000-1100-00006E000000}">
      <text>
        <r>
          <rPr>
            <b/>
            <sz val="9"/>
            <color indexed="81"/>
            <rFont val="Tahoma"/>
            <family val="2"/>
          </rPr>
          <t>Indicar para o parqueamento a previsão da extensão das cercas.
Indicar para os pontos de água o n.º a instalar por subparcela/zona homogénea.</t>
        </r>
        <r>
          <rPr>
            <sz val="9"/>
            <color indexed="81"/>
            <rFont val="Tahoma"/>
            <family val="2"/>
          </rPr>
          <t xml:space="preserve">
</t>
        </r>
      </text>
    </comment>
    <comment ref="F195" authorId="0" shapeId="0" xr:uid="{00000000-0006-0000-1100-00006F000000}">
      <text>
        <r>
          <rPr>
            <b/>
            <sz val="9"/>
            <color indexed="81"/>
            <rFont val="Tahoma"/>
            <family val="2"/>
          </rPr>
          <t>Campo descritivo onde deve ser registada a fundamentação técnica para a intervenção proposta.</t>
        </r>
        <r>
          <rPr>
            <sz val="9"/>
            <color indexed="81"/>
            <rFont val="Tahoma"/>
            <family val="2"/>
          </rPr>
          <t xml:space="preserve">
</t>
        </r>
      </text>
    </comment>
    <comment ref="A202" authorId="0" shapeId="0" xr:uid="{00000000-0006-0000-1100-000070000000}">
      <text>
        <r>
          <rPr>
            <b/>
            <sz val="9"/>
            <color indexed="81"/>
            <rFont val="Tahoma"/>
            <family val="2"/>
          </rPr>
          <t xml:space="preserve">Preencher os campos infra em complemento da informação disponibilizada no quadro 2, quando aplicável.
No caso do regime ecológico «maneio da pastagem permanente», no preenchimento dos campos deve ser considerado o período de 3 anos.
No caso da intervenção agroambiental «conservação do solo - pastagens biodiversas, no preenchimento dos campos deve ser considerado o período de 5 anos.
</t>
        </r>
        <r>
          <rPr>
            <sz val="9"/>
            <color indexed="81"/>
            <rFont val="Tahoma"/>
            <family val="2"/>
          </rPr>
          <t xml:space="preserve">
</t>
        </r>
      </text>
    </comment>
    <comment ref="B205" authorId="0" shapeId="0" xr:uid="{00000000-0006-0000-1100-000071000000}">
      <text>
        <r>
          <rPr>
            <b/>
            <sz val="9"/>
            <color indexed="81"/>
            <rFont val="Tahoma"/>
            <family val="2"/>
          </rPr>
          <t>Campo editável nos casos em que a rotação do efetivo apresenta outro período temporal (ex. mensal, bimensal, etc…).</t>
        </r>
      </text>
    </comment>
    <comment ref="C205" authorId="0" shapeId="0" xr:uid="{00000000-0006-0000-1100-000072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D205" authorId="0" shapeId="0" xr:uid="{00000000-0006-0000-1100-000073000000}">
      <text>
        <r>
          <rPr>
            <b/>
            <sz val="9"/>
            <color indexed="81"/>
            <rFont val="Tahoma"/>
            <family val="2"/>
          </rPr>
          <t>Campo editável nos casos em que a rotação do efetivo apresenta outro período temporal (ex. mensal, bimensal, etc…).</t>
        </r>
      </text>
    </comment>
    <comment ref="E205" authorId="0" shapeId="0" xr:uid="{00000000-0006-0000-1100-000074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F205" authorId="0" shapeId="0" xr:uid="{00000000-0006-0000-1100-000075000000}">
      <text>
        <r>
          <rPr>
            <b/>
            <sz val="9"/>
            <color indexed="81"/>
            <rFont val="Tahoma"/>
            <family val="2"/>
          </rPr>
          <t>Campo editável nos casos em que a rotação do efetivo apresenta outro período temporal (ex. mensal, bimensal, etc…).</t>
        </r>
      </text>
    </comment>
    <comment ref="G205" authorId="0" shapeId="0" xr:uid="{00000000-0006-0000-1100-000076000000}">
      <text>
        <r>
          <rPr>
            <b/>
            <sz val="9"/>
            <color indexed="81"/>
            <rFont val="Tahoma"/>
            <family val="2"/>
          </rPr>
          <t>Campo editável nos casos em que a rotação do efetivo apresenta outro período temporal (ex. mensal, bimensal, etc…).</t>
        </r>
      </text>
    </comment>
    <comment ref="H205" authorId="0" shapeId="0" xr:uid="{00000000-0006-0000-1100-000077000000}">
      <text>
        <r>
          <rPr>
            <b/>
            <sz val="9"/>
            <color indexed="81"/>
            <rFont val="Tahoma"/>
            <family val="2"/>
          </rPr>
          <t>Campo editável nos casos em que a rotação do efetivo apresenta outro período temporal (ex. mensal, bimensal, etc…).</t>
        </r>
      </text>
    </comment>
    <comment ref="I205" authorId="0" shapeId="0" xr:uid="{00000000-0006-0000-1100-000078000000}">
      <text>
        <r>
          <rPr>
            <b/>
            <sz val="9"/>
            <color indexed="81"/>
            <rFont val="Tahoma"/>
            <family val="2"/>
          </rPr>
          <t>Campo editável nos casos em que a rotação do efetivo apresenta outro período temporal (ex. mensal, bimensal, etc…).</t>
        </r>
      </text>
    </comment>
    <comment ref="J205" authorId="0" shapeId="0" xr:uid="{00000000-0006-0000-1100-000079000000}">
      <text>
        <r>
          <rPr>
            <b/>
            <sz val="9"/>
            <color indexed="81"/>
            <rFont val="Tahoma"/>
            <family val="2"/>
          </rPr>
          <t>Campo editável nos casos em que a rotação do efetivo apresenta outro período temporal (ex. mensal, bimensal, etc…).</t>
        </r>
      </text>
    </comment>
    <comment ref="K205" authorId="0" shapeId="0" xr:uid="{00000000-0006-0000-1100-00007A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L205" authorId="0" shapeId="0" xr:uid="{00000000-0006-0000-1100-00007B000000}">
      <text>
        <r>
          <rPr>
            <b/>
            <sz val="9"/>
            <color indexed="81"/>
            <rFont val="Tahoma"/>
            <family val="2"/>
          </rPr>
          <t>Campo editável nos casos em que a rotação do efetivo apresenta outro período temporal (ex. mensal, bimensal, etc…).</t>
        </r>
      </text>
    </comment>
    <comment ref="M205" authorId="0" shapeId="0" xr:uid="{00000000-0006-0000-1100-00007C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A206" authorId="0" shapeId="0" xr:uid="{00000000-0006-0000-1100-00007D000000}">
      <text>
        <r>
          <rPr>
            <b/>
            <sz val="9"/>
            <color indexed="81"/>
            <rFont val="Tahoma"/>
            <family val="2"/>
          </rPr>
          <t>Entende-se por «rotação das subparcelas/zonas homogéneas» a rotatividade das áreas de pastagem permanente para pastoreio.</t>
        </r>
        <r>
          <rPr>
            <sz val="9"/>
            <color indexed="81"/>
            <rFont val="Tahoma"/>
            <family val="2"/>
          </rPr>
          <t xml:space="preserve">
</t>
        </r>
      </text>
    </comment>
    <comment ref="B206" authorId="0" shapeId="0" xr:uid="{00000000-0006-0000-1100-00007E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C206" authorId="0" shapeId="0" xr:uid="{00000000-0006-0000-1100-00007F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D206" authorId="0" shapeId="0" xr:uid="{00000000-0006-0000-1100-000080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E206" authorId="0" shapeId="0" xr:uid="{00000000-0006-0000-1100-000081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F206" authorId="0" shapeId="0" xr:uid="{00000000-0006-0000-1100-000082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G206" authorId="0" shapeId="0" xr:uid="{00000000-0006-0000-1100-000083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H206" authorId="0" shapeId="0" xr:uid="{00000000-0006-0000-1100-000084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I206" authorId="0" shapeId="0" xr:uid="{00000000-0006-0000-1100-000085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J206" authorId="0" shapeId="0" xr:uid="{00000000-0006-0000-1100-000086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K206" authorId="0" shapeId="0" xr:uid="{00000000-0006-0000-1100-000087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L206" authorId="0" shapeId="0" xr:uid="{00000000-0006-0000-1100-000088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M206" authorId="0" shapeId="0" xr:uid="{00000000-0006-0000-1100-000089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B208" authorId="0" shapeId="0" xr:uid="{00000000-0006-0000-1100-00008A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C208" authorId="0" shapeId="0" xr:uid="{00000000-0006-0000-1100-00008B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D208" authorId="0" shapeId="0" xr:uid="{00000000-0006-0000-1100-00008C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E208" authorId="0" shapeId="0" xr:uid="{00000000-0006-0000-1100-00008D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F208" authorId="0" shapeId="0" xr:uid="{00000000-0006-0000-1100-00008E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G208" authorId="0" shapeId="0" xr:uid="{00000000-0006-0000-1100-00008F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H208" authorId="0" shapeId="0" xr:uid="{00000000-0006-0000-1100-000090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I208" authorId="0" shapeId="0" xr:uid="{00000000-0006-0000-1100-000091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J208" authorId="0" shapeId="0" xr:uid="{00000000-0006-0000-1100-000092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K208" authorId="0" shapeId="0" xr:uid="{00000000-0006-0000-1100-000093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L208" authorId="0" shapeId="0" xr:uid="{00000000-0006-0000-1100-000094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M208" authorId="0" shapeId="0" xr:uid="{00000000-0006-0000-1100-000095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A210" authorId="0" shapeId="0" xr:uid="{00000000-0006-0000-1100-000096000000}">
      <text>
        <r>
          <rPr>
            <b/>
            <sz val="9"/>
            <color indexed="81"/>
            <rFont val="Tahoma"/>
            <family val="2"/>
          </rPr>
          <t>Campo descritivo onde deve ser registada a fundamentação técnica para as intervenções propostas nos campos anteriores.</t>
        </r>
      </text>
    </comment>
    <comment ref="B231" authorId="0" shapeId="0" xr:uid="{00000000-0006-0000-1100-000097000000}">
      <text>
        <r>
          <rPr>
            <b/>
            <sz val="9"/>
            <color indexed="81"/>
            <rFont val="Tahoma"/>
            <family val="2"/>
          </rPr>
          <t>Campo editável nos casos em que a rotação do efetivo apresenta outro período temporal (ex. mensal, bimensal, etc…).</t>
        </r>
      </text>
    </comment>
    <comment ref="C231" authorId="0" shapeId="0" xr:uid="{00000000-0006-0000-1100-000098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D231" authorId="0" shapeId="0" xr:uid="{00000000-0006-0000-1100-000099000000}">
      <text>
        <r>
          <rPr>
            <b/>
            <sz val="9"/>
            <color indexed="81"/>
            <rFont val="Tahoma"/>
            <family val="2"/>
          </rPr>
          <t>Campo editável nos casos em que a rotação do efetivo apresenta outro período temporal (ex. mensal, bimensal, etc…).</t>
        </r>
      </text>
    </comment>
    <comment ref="E231" authorId="0" shapeId="0" xr:uid="{00000000-0006-0000-1100-00009A000000}">
      <text>
        <r>
          <rPr>
            <b/>
            <sz val="9"/>
            <color indexed="81"/>
            <rFont val="Tahoma"/>
            <family val="2"/>
          </rPr>
          <t>Campo editável nos casos em que a rotação do efetivo apresenta outro período temporal (ex. mensal, bimensal, etc…).</t>
        </r>
        <r>
          <rPr>
            <sz val="9"/>
            <color indexed="81"/>
            <rFont val="Tahoma"/>
            <family val="2"/>
          </rPr>
          <t xml:space="preserve">
</t>
        </r>
      </text>
    </comment>
    <comment ref="F231" authorId="0" shapeId="0" xr:uid="{00000000-0006-0000-1100-00009B000000}">
      <text>
        <r>
          <rPr>
            <b/>
            <sz val="9"/>
            <color indexed="81"/>
            <rFont val="Tahoma"/>
            <family val="2"/>
          </rPr>
          <t>Campo editável nos casos em que a rotação do efetivo apresenta outro período temporal (ex. mensal, bimensal, etc…).</t>
        </r>
      </text>
    </comment>
    <comment ref="G231" authorId="0" shapeId="0" xr:uid="{00000000-0006-0000-1100-00009C000000}">
      <text>
        <r>
          <rPr>
            <b/>
            <sz val="9"/>
            <color indexed="81"/>
            <rFont val="Tahoma"/>
            <family val="2"/>
          </rPr>
          <t>Campo editável nos casos em que a rotação do efetivo apresenta outro período temporal (ex. mensal, bimensal, etc…).</t>
        </r>
      </text>
    </comment>
    <comment ref="H231" authorId="0" shapeId="0" xr:uid="{00000000-0006-0000-1100-00009D000000}">
      <text>
        <r>
          <rPr>
            <b/>
            <sz val="9"/>
            <color indexed="81"/>
            <rFont val="Tahoma"/>
            <family val="2"/>
          </rPr>
          <t>Campo editável nos casos em que a rotação do efetivo apresenta outro período temporal (ex. mensal, bimensal, etc…).</t>
        </r>
      </text>
    </comment>
    <comment ref="I231" authorId="0" shapeId="0" xr:uid="{00000000-0006-0000-1100-00009E000000}">
      <text>
        <r>
          <rPr>
            <b/>
            <sz val="9"/>
            <color indexed="81"/>
            <rFont val="Tahoma"/>
            <family val="2"/>
          </rPr>
          <t>Campo editável nos casos em que a rotação do efetivo apresenta outro período temporal (ex. mensal, bimensal, etc…).</t>
        </r>
      </text>
    </comment>
    <comment ref="A232" authorId="0" shapeId="0" xr:uid="{00000000-0006-0000-1100-00009F000000}">
      <text>
        <r>
          <rPr>
            <b/>
            <sz val="9"/>
            <color indexed="81"/>
            <rFont val="Tahoma"/>
            <family val="2"/>
          </rPr>
          <t>Entende-se por «rotação das subparcelas/zonas homogéneas» a rotatividade das áreas de pastagem permanente para pastoreio.</t>
        </r>
        <r>
          <rPr>
            <sz val="9"/>
            <color indexed="81"/>
            <rFont val="Tahoma"/>
            <family val="2"/>
          </rPr>
          <t xml:space="preserve">
</t>
        </r>
      </text>
    </comment>
    <comment ref="B232" authorId="0" shapeId="0" xr:uid="{00000000-0006-0000-1100-0000A0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C232" authorId="0" shapeId="0" xr:uid="{00000000-0006-0000-1100-0000A1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D232" authorId="0" shapeId="0" xr:uid="{00000000-0006-0000-1100-0000A2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E232" authorId="0" shapeId="0" xr:uid="{00000000-0006-0000-1100-0000A3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F232" authorId="0" shapeId="0" xr:uid="{00000000-0006-0000-1100-0000A4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G232" authorId="0" shapeId="0" xr:uid="{00000000-0006-0000-1100-0000A5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H232" authorId="0" shapeId="0" xr:uid="{00000000-0006-0000-1100-0000A6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I232" authorId="0" shapeId="0" xr:uid="{00000000-0006-0000-1100-0000A7000000}">
      <text>
        <r>
          <rPr>
            <b/>
            <sz val="9"/>
            <color indexed="81"/>
            <rFont val="Tahoma"/>
            <family val="2"/>
          </rPr>
          <t>Identificar que subparcelas ou zonas homogéneas devem ser pastoreadas neste período do ano identificado no campo supra.</t>
        </r>
        <r>
          <rPr>
            <sz val="9"/>
            <color indexed="81"/>
            <rFont val="Tahoma"/>
            <family val="2"/>
          </rPr>
          <t xml:space="preserve">
</t>
        </r>
      </text>
    </comment>
    <comment ref="B234" authorId="0" shapeId="0" xr:uid="{00000000-0006-0000-1100-0000A8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C234" authorId="0" shapeId="0" xr:uid="{00000000-0006-0000-1100-0000A9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D234" authorId="0" shapeId="0" xr:uid="{00000000-0006-0000-1100-0000AA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E234" authorId="0" shapeId="0" xr:uid="{00000000-0006-0000-1100-0000AB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54-E/2023: da Portaria n.º 54-C/2023 e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F234" authorId="0" shapeId="0" xr:uid="{00000000-0006-0000-1100-0000AC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G234" authorId="0" shapeId="0" xr:uid="{00000000-0006-0000-1100-0000AD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H234" authorId="0" shapeId="0" xr:uid="{00000000-0006-0000-1100-0000AE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I234" authorId="0" shapeId="0" xr:uid="{00000000-0006-0000-1100-0000AF000000}">
      <text>
        <r>
          <rPr>
            <b/>
            <sz val="9"/>
            <color indexed="81"/>
            <rFont val="Tahoma"/>
            <family val="2"/>
          </rPr>
          <t>Identificar por subparcelas/zonas homogéneas que espécie pecuária e n.º de Cabeças Normais (CN) devem pastorear as superfícies em causa neste período.
Na conversão de cabeças naturais em cabeças normais devem ser utilizados os coeficientes previstos no Anexo I da Portaria n.º 54-C/2023 e da Portaria n.º 54-E/2023:
Espécies                                                     Cabeças Normais (CN)
Bovinos com mais de 2 anos ............................. 1
Bovinos de 6 meses a 2 anos ........................... 0,6
Bovinos com menos de 6 meses ....................... 0,4
Ovinos com mais de 1 ano ............................... 0,15
Caprinos com mais de 1 ano ............................ 0,15
Porcas reprodutoras &gt; 50kg ........................... 0,5
Outros suínos (com mais de 3 meses) .............. 0,3
Equídeos com mais de 6 meses ......................... 1</t>
        </r>
      </text>
    </comment>
    <comment ref="A236" authorId="0" shapeId="0" xr:uid="{00000000-0006-0000-1100-0000B0000000}">
      <text>
        <r>
          <rPr>
            <b/>
            <sz val="9"/>
            <color indexed="81"/>
            <rFont val="Tahoma"/>
            <family val="2"/>
          </rPr>
          <t>Campo descritivo onde deve ser registada a fundamentação técnica para as intervenções propostas nos campos anteriores.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2" authorId="0" shapeId="0" xr:uid="{00000000-0006-0000-1200-000001000000}">
      <text>
        <r>
          <rPr>
            <b/>
            <sz val="9"/>
            <color indexed="81"/>
            <rFont val="Tahoma"/>
            <family val="2"/>
          </rPr>
          <t>Preenchimento opcional.
Este separador permite aos beneficiários que detenham animais certificados em modo de produção biológico ou PRODI cumprir os requisitos que lhes são aplicáveis se assim o entenderem.</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3" authorId="0" shapeId="0" xr:uid="{00000000-0006-0000-1300-000001000000}">
      <text>
        <r>
          <rPr>
            <b/>
            <sz val="9"/>
            <color indexed="81"/>
            <rFont val="Tahoma"/>
            <family val="2"/>
          </rPr>
          <t>Preenchimento opcional.
Este separador permite aos beneficiários que tenham compromissos ativos em PRODI cumprir os requisitos que lhes são aplicáveis.
Descrever sucintamente as medidas preventivas de carácter sanitário que o produtor planeia adotar em relação a cada um dos parâmetros referidos, quando aplicável. O agricultor deve apresentar um plano contendo a informação solicitada neste anexo. Este modelo é um guia de orientação, não obrigatório</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A1" authorId="0" shapeId="0" xr:uid="{00000000-0006-0000-1400-000001000000}">
      <text>
        <r>
          <rPr>
            <b/>
            <sz val="9"/>
            <color indexed="81"/>
            <rFont val="Tahoma"/>
            <family val="2"/>
          </rPr>
          <t xml:space="preserve">Preenchimento opcional.
Este separador permite aos beneficiários que detenham animais certificados em modo de produção biológico ou PRODI cumprir os requisitos que lhes são aplicáveis se assim o entenderem.
Este modelo é um guia de orientação, não obrigatório.
</t>
        </r>
        <r>
          <rPr>
            <sz val="9"/>
            <color indexed="81"/>
            <rFont val="Tahoma"/>
            <family val="2"/>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DSPP</author>
  </authors>
  <commentList>
    <comment ref="C6" authorId="0" shapeId="0" xr:uid="{00000000-0006-0000-1500-000001000000}">
      <text>
        <r>
          <rPr>
            <b/>
            <sz val="9"/>
            <color indexed="81"/>
            <rFont val="Tahoma"/>
            <family val="2"/>
          </rPr>
          <t>Deve ser registado o tipo de observação realizada e a sua conformidade com os compromissos específicos de cada apoio e os normativos em vigor (AB, PRODI, PB, UEA) ou as instruções emitidas pela ELA (PZA).</t>
        </r>
        <r>
          <rPr>
            <sz val="9"/>
            <color indexed="81"/>
            <rFont val="Tahoma"/>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Miguel Jorge Viegas Cardoso</author>
    <author>Cardoso, Miguel</author>
    <author>DSPP</author>
  </authors>
  <commentList>
    <comment ref="A6" authorId="0" shapeId="0" xr:uid="{00000000-0006-0000-1600-000001000000}">
      <text>
        <r>
          <rPr>
            <b/>
            <sz val="9"/>
            <color indexed="81"/>
            <rFont val="Tahoma"/>
            <family val="2"/>
          </rPr>
          <t>Identificar o beneficiário e a Exploração Pecuária.</t>
        </r>
      </text>
    </comment>
    <comment ref="A14" authorId="1" shapeId="0" xr:uid="{00000000-0006-0000-1600-000002000000}">
      <text>
        <r>
          <rPr>
            <b/>
            <sz val="9"/>
            <color indexed="81"/>
            <rFont val="Tahoma"/>
            <family val="2"/>
          </rPr>
          <t>No caso de sociedades identificar o sócio gerente ou pessoa em quem delegou a responsabilidade técnica da exploração pecuária.
No caso de beneficiário em nome individual quando o mesmo nomeou um representante legal ou responsável técnico.</t>
        </r>
      </text>
    </comment>
    <comment ref="A15" authorId="2" shapeId="0" xr:uid="{00000000-0006-0000-1600-000003000000}">
      <text>
        <r>
          <rPr>
            <b/>
            <sz val="9"/>
            <color indexed="81"/>
            <rFont val="Tahoma"/>
            <family val="2"/>
          </rPr>
          <t>Sócio gerente
Representante legal
Responsável técnico</t>
        </r>
        <r>
          <rPr>
            <sz val="9"/>
            <color indexed="81"/>
            <rFont val="Tahoma"/>
            <family val="2"/>
          </rPr>
          <t xml:space="preserve">
</t>
        </r>
      </text>
    </comment>
    <comment ref="A19" authorId="0" shapeId="0" xr:uid="{00000000-0006-0000-1600-000004000000}">
      <text>
        <r>
          <rPr>
            <b/>
            <sz val="9"/>
            <color indexed="81"/>
            <rFont val="Tahoma"/>
            <family val="2"/>
          </rPr>
          <t>Pretende-se que seja feita a caraterização em termos de localização, área e modo de produção, identificando a possível existência de assistência técnica, tipo de produção animal/vegetal e eventual transformação da produção na própria exploração.</t>
        </r>
      </text>
    </comment>
    <comment ref="A26" authorId="2" shapeId="0" xr:uid="{00000000-0006-0000-1600-000005000000}">
      <text>
        <r>
          <rPr>
            <b/>
            <sz val="9"/>
            <color indexed="81"/>
            <rFont val="Tahoma"/>
            <family val="2"/>
          </rPr>
          <t>Identificar entidade emissora de parecer.
- Técnico pertencente ao Serviço de Aconselhamento Agrícola e Florestal (SAAF);
- Comissão de Coordenação e Desenvolvimento Regional de ____________;
- Organismo de Controlo ______________.</t>
        </r>
        <r>
          <rPr>
            <sz val="9"/>
            <color indexed="81"/>
            <rFont val="Tahoma"/>
            <family val="2"/>
          </rPr>
          <t xml:space="preserve">
</t>
        </r>
      </text>
    </comment>
    <comment ref="C29" authorId="2" shapeId="0" xr:uid="{00000000-0006-0000-1600-000006000000}">
      <text>
        <r>
          <rPr>
            <b/>
            <sz val="9"/>
            <color indexed="81"/>
            <rFont val="Tahoma"/>
            <family val="2"/>
          </rPr>
          <t>Assinalar com X o caso aplicável.</t>
        </r>
        <r>
          <rPr>
            <sz val="9"/>
            <color indexed="81"/>
            <rFont val="Tahoma"/>
            <family val="2"/>
          </rPr>
          <t xml:space="preserve">
</t>
        </r>
      </text>
    </comment>
    <comment ref="G29" authorId="2" shapeId="0" xr:uid="{00000000-0006-0000-1600-000007000000}">
      <text>
        <r>
          <rPr>
            <b/>
            <sz val="9"/>
            <color indexed="81"/>
            <rFont val="Tahoma"/>
            <family val="2"/>
          </rPr>
          <t>Assinalar com X o caso aplicável.</t>
        </r>
        <r>
          <rPr>
            <sz val="9"/>
            <color indexed="81"/>
            <rFont val="Tahoma"/>
            <family val="2"/>
          </rPr>
          <t xml:space="preserve">
</t>
        </r>
      </text>
    </comment>
    <comment ref="C31" authorId="2" shapeId="0" xr:uid="{00000000-0006-0000-1600-000008000000}">
      <text>
        <r>
          <rPr>
            <b/>
            <sz val="9"/>
            <color indexed="81"/>
            <rFont val="Tahoma"/>
            <family val="2"/>
          </rPr>
          <t>Assinalar com X o caso aplicável.</t>
        </r>
        <r>
          <rPr>
            <sz val="9"/>
            <color indexed="81"/>
            <rFont val="Tahoma"/>
            <family val="2"/>
          </rPr>
          <t xml:space="preserve">
</t>
        </r>
      </text>
    </comment>
    <comment ref="H31" authorId="2" shapeId="0" xr:uid="{00000000-0006-0000-1600-000009000000}">
      <text>
        <r>
          <rPr>
            <b/>
            <sz val="9"/>
            <color indexed="81"/>
            <rFont val="Tahoma"/>
            <family val="2"/>
          </rPr>
          <t>Assinalar com X o caso aplicável.</t>
        </r>
        <r>
          <rPr>
            <sz val="9"/>
            <color indexed="81"/>
            <rFont val="Tahoma"/>
            <family val="2"/>
          </rPr>
          <t xml:space="preserve">
</t>
        </r>
      </text>
    </comment>
    <comment ref="H48" authorId="2" shapeId="0" xr:uid="{00000000-0006-0000-1600-00000A000000}">
      <text>
        <r>
          <rPr>
            <b/>
            <sz val="9"/>
            <color indexed="81"/>
            <rFont val="Tahoma"/>
            <family val="2"/>
          </rPr>
          <t>Nome deve ser legível, sem abreviaturas.</t>
        </r>
      </text>
    </comment>
  </commentList>
</comments>
</file>

<file path=xl/sharedStrings.xml><?xml version="1.0" encoding="utf-8"?>
<sst xmlns="http://schemas.openxmlformats.org/spreadsheetml/2006/main" count="1095" uniqueCount="621">
  <si>
    <t>1 - Identificação do Beneficiário e da Exploração</t>
  </si>
  <si>
    <t>Identificação do operador</t>
  </si>
  <si>
    <t>Nome do beneficiário:</t>
  </si>
  <si>
    <t xml:space="preserve">NIF: </t>
  </si>
  <si>
    <t>NIFAP:</t>
  </si>
  <si>
    <t>Morada:</t>
  </si>
  <si>
    <t xml:space="preserve">Localização: </t>
  </si>
  <si>
    <t>Cód.Postal:</t>
  </si>
  <si>
    <t xml:space="preserve">Freguesia: </t>
  </si>
  <si>
    <t xml:space="preserve">Concelho: </t>
  </si>
  <si>
    <t>Telefone:</t>
  </si>
  <si>
    <t>Telemóvel:</t>
  </si>
  <si>
    <t xml:space="preserve">Correio eletrónico: </t>
  </si>
  <si>
    <t>Sócio gerente ou representante (Quando aplicável)</t>
  </si>
  <si>
    <t>Cargo:</t>
  </si>
  <si>
    <t>Nome:</t>
  </si>
  <si>
    <t xml:space="preserve">Telemóvel: </t>
  </si>
  <si>
    <t>Correio eletrónico:</t>
  </si>
  <si>
    <t>Identificação da exploração</t>
  </si>
  <si>
    <t>Local da sede:</t>
  </si>
  <si>
    <t>Cód. Postal:</t>
  </si>
  <si>
    <t>Freguesia:</t>
  </si>
  <si>
    <t>Concelho:</t>
  </si>
  <si>
    <t>Efetivo Pecuário (CN):</t>
  </si>
  <si>
    <t xml:space="preserve"> </t>
  </si>
  <si>
    <t>Área (ha):</t>
  </si>
  <si>
    <t>Identificação do OC (AB):</t>
  </si>
  <si>
    <t>Identificação do OC (PRODI):</t>
  </si>
  <si>
    <t>Identificação do OC (PP biodiversas):</t>
  </si>
  <si>
    <t>Identificação da ERR:</t>
  </si>
  <si>
    <t>Subparcela</t>
  </si>
  <si>
    <t>Zona Homogénea</t>
  </si>
  <si>
    <t>Área (ha)</t>
  </si>
  <si>
    <t>Textura do solo</t>
  </si>
  <si>
    <t>Sucessão cultural</t>
  </si>
  <si>
    <t>IQFP</t>
  </si>
  <si>
    <t xml:space="preserve">Boas práticas </t>
  </si>
  <si>
    <t>(C1-C2-C3-C4…)</t>
  </si>
  <si>
    <t>B</t>
  </si>
  <si>
    <t>Baldio</t>
  </si>
  <si>
    <t xml:space="preserve">Designação: </t>
  </si>
  <si>
    <t>N.º Subparcela:</t>
  </si>
  <si>
    <t>Modo de Produção</t>
  </si>
  <si>
    <t>Intervenção PEPAC</t>
  </si>
  <si>
    <t>Espécie/ Raça</t>
  </si>
  <si>
    <t>Grupo homogéneo</t>
  </si>
  <si>
    <t>N.º de cabeças</t>
  </si>
  <si>
    <t>Plano alimentar</t>
  </si>
  <si>
    <t>Finalidade da produção</t>
  </si>
  <si>
    <t>Outras observações</t>
  </si>
  <si>
    <t>Parcelas pastoreadas (ha)</t>
  </si>
  <si>
    <t>Tipo de alimento e quantidade</t>
  </si>
  <si>
    <t>Naturais</t>
  </si>
  <si>
    <t>Normais (CN)</t>
  </si>
  <si>
    <t>Pastagem permanente</t>
  </si>
  <si>
    <t>Espaço florestal não arborizado com aproveito forrageiro</t>
  </si>
  <si>
    <t>Superfície forrageira temporária</t>
  </si>
  <si>
    <t>Forragem</t>
  </si>
  <si>
    <t>Alimentos compostos</t>
  </si>
  <si>
    <t>Outras matérias-primas</t>
  </si>
  <si>
    <t xml:space="preserve">Zona homogénea </t>
  </si>
  <si>
    <t>Tipo de rega:</t>
  </si>
  <si>
    <t>Cultura e variedade:</t>
  </si>
  <si>
    <t>Compasso; porta-enxerto; nº de plantas; data de plantação ou de sementeira:</t>
  </si>
  <si>
    <t>Unidades</t>
  </si>
  <si>
    <t>Produção total:</t>
  </si>
  <si>
    <t>Esperada</t>
  </si>
  <si>
    <t>Obtida</t>
  </si>
  <si>
    <t>Data</t>
  </si>
  <si>
    <t>Estado fenológico</t>
  </si>
  <si>
    <t xml:space="preserve">Metodologia </t>
  </si>
  <si>
    <t>Observação/Largada de auxiliares</t>
  </si>
  <si>
    <t>Observações</t>
  </si>
  <si>
    <t>Nº Autorização/</t>
  </si>
  <si>
    <t>Volume de calda da aplicação</t>
  </si>
  <si>
    <t>N.º de aplicador</t>
  </si>
  <si>
    <t>Obs.</t>
  </si>
  <si>
    <t xml:space="preserve">5 – Registo de Operações Culturais </t>
  </si>
  <si>
    <t>Fertilização</t>
  </si>
  <si>
    <t>Prática cultural</t>
  </si>
  <si>
    <t>Rega</t>
  </si>
  <si>
    <t>Colheita</t>
  </si>
  <si>
    <t xml:space="preserve">Quantificação </t>
  </si>
  <si>
    <t>Modo de aplicação</t>
  </si>
  <si>
    <t>Intervenção ou processos</t>
  </si>
  <si>
    <t xml:space="preserve">Débito/dia ou dotação total da rega </t>
  </si>
  <si>
    <t>Quantificação</t>
  </si>
  <si>
    <t>Processo</t>
  </si>
  <si>
    <t>(Lote nº)</t>
  </si>
  <si>
    <t>Produto</t>
  </si>
  <si>
    <t>Quantidade</t>
  </si>
  <si>
    <t>Origem</t>
  </si>
  <si>
    <t>Destino</t>
  </si>
  <si>
    <t>DOC. Nº</t>
  </si>
  <si>
    <t>Consumo energético elétrico (kWh/t ou kWh/ha)</t>
  </si>
  <si>
    <t>(fator de produção)</t>
  </si>
  <si>
    <t>(kg, L, t)</t>
  </si>
  <si>
    <t>7 - Registo de Produção Animal</t>
  </si>
  <si>
    <t>Justificação da Intervenção</t>
  </si>
  <si>
    <t>Alteração Nº Animais</t>
  </si>
  <si>
    <t>Alimentação Animal</t>
  </si>
  <si>
    <t>Operações Gerais e Gestão efluentes</t>
  </si>
  <si>
    <t>Controlo Sanitário</t>
  </si>
  <si>
    <t>Produção</t>
  </si>
  <si>
    <t>Vendas</t>
  </si>
  <si>
    <t>data</t>
  </si>
  <si>
    <t>Facto ocorrido</t>
  </si>
  <si>
    <t xml:space="preserve">Motivo </t>
  </si>
  <si>
    <t>Silagem, Feno-silagem, Forragem, Alimento composto (composição) Aditivos, Pastagens</t>
  </si>
  <si>
    <t>Tipo intervenção</t>
  </si>
  <si>
    <t>Método, Medida</t>
  </si>
  <si>
    <t>Designação do produto</t>
  </si>
  <si>
    <t>(dia ou período)</t>
  </si>
  <si>
    <t>Diagnóstico</t>
  </si>
  <si>
    <t>(Documento justificativo)</t>
  </si>
  <si>
    <t>Tipo efluente</t>
  </si>
  <si>
    <t>Produto / S. ativa</t>
  </si>
  <si>
    <t>Tipo de embalagem</t>
  </si>
  <si>
    <t>Animais alvo</t>
  </si>
  <si>
    <t>Material / equipam.</t>
  </si>
  <si>
    <t>Posologia</t>
  </si>
  <si>
    <t>Nº total atual</t>
  </si>
  <si>
    <t>Parcela / Zona homogénea</t>
  </si>
  <si>
    <t>Lote nº / Destino</t>
  </si>
  <si>
    <t>N</t>
  </si>
  <si>
    <t>Mg</t>
  </si>
  <si>
    <t>Compasso:</t>
  </si>
  <si>
    <t>porta-enxerto:</t>
  </si>
  <si>
    <t>nº de plantas:</t>
  </si>
  <si>
    <t>5A – Registo de Operações de Fertilização</t>
  </si>
  <si>
    <t>C1</t>
  </si>
  <si>
    <t>C2</t>
  </si>
  <si>
    <t>C3</t>
  </si>
  <si>
    <t>Conversão:</t>
  </si>
  <si>
    <t>data de plantação:</t>
  </si>
  <si>
    <t>Ton/a</t>
  </si>
  <si>
    <t>Ton/ha</t>
  </si>
  <si>
    <t>Nº seq. de Parcela</t>
  </si>
  <si>
    <t>5B – Registo das atividades</t>
  </si>
  <si>
    <t>ou</t>
  </si>
  <si>
    <t>N.º Seq. Parcela</t>
  </si>
  <si>
    <t>N.º Subparcela</t>
  </si>
  <si>
    <t>Operação</t>
  </si>
  <si>
    <t>Produto utilizado</t>
  </si>
  <si>
    <t>Quantidade Aplicada</t>
  </si>
  <si>
    <t>t</t>
  </si>
  <si>
    <t>CaO</t>
  </si>
  <si>
    <t>Elementos fornecidos pelo solo (cf. Análise de terras)</t>
  </si>
  <si>
    <t>Elementos fornecidos pela água de rega (cf. Análise de água de rega)</t>
  </si>
  <si>
    <t>Totais aplicados na subparcela ou na zona homogénea (kg)</t>
  </si>
  <si>
    <t>Totais aplicados por hectare (kg/há)</t>
  </si>
  <si>
    <t>Método de rega:</t>
  </si>
  <si>
    <t>Data:</t>
  </si>
  <si>
    <t>N.º do Boletim:</t>
  </si>
  <si>
    <t>Elemento</t>
  </si>
  <si>
    <t>mg/kg</t>
  </si>
  <si>
    <t>(%)</t>
  </si>
  <si>
    <r>
      <t>K</t>
    </r>
    <r>
      <rPr>
        <b/>
        <vertAlign val="subscript"/>
        <sz val="11"/>
        <color theme="1"/>
        <rFont val="Calibri"/>
        <family val="2"/>
        <scheme val="minor"/>
      </rPr>
      <t>2</t>
    </r>
    <r>
      <rPr>
        <b/>
        <sz val="11"/>
        <color theme="1"/>
        <rFont val="Calibri"/>
        <family val="2"/>
        <scheme val="minor"/>
      </rPr>
      <t>O</t>
    </r>
  </si>
  <si>
    <t>Totais aplicados por hectare (kg/ha)</t>
  </si>
  <si>
    <t>Material ou equipamento utilizado</t>
  </si>
  <si>
    <t>Zona homogénea</t>
  </si>
  <si>
    <t>Out/Dez</t>
  </si>
  <si>
    <t>Jan/Fev</t>
  </si>
  <si>
    <t>Mar/Mai</t>
  </si>
  <si>
    <t>Jun/Set</t>
  </si>
  <si>
    <t>Maneio do gado (CN)</t>
  </si>
  <si>
    <t>Cultura/Variedade ou casta</t>
  </si>
  <si>
    <t>Estado geral da pastagem</t>
  </si>
  <si>
    <t>Pontos de água acessíveis ao gado</t>
  </si>
  <si>
    <t>6 – Registo Calendário Rega</t>
  </si>
  <si>
    <t>Cultura:</t>
  </si>
  <si>
    <t>N.º do Contador</t>
  </si>
  <si>
    <t>Leitura do contador antes da 1.ª rega (m3)</t>
  </si>
  <si>
    <t>Reserva facilmente utilizável (m3/m3):</t>
  </si>
  <si>
    <t>Eficiência de rega:</t>
  </si>
  <si>
    <t>Ano:</t>
  </si>
  <si>
    <t>Mês:</t>
  </si>
  <si>
    <t>Semana n.º:</t>
  </si>
  <si>
    <t>__/20__</t>
  </si>
  <si>
    <t>PROFUNDIDADE RADICULAR (m)</t>
  </si>
  <si>
    <t>DIA DO CICLO VEGETATIVO</t>
  </si>
  <si>
    <t>CAPACIDADE DE CAMPO (mm)</t>
  </si>
  <si>
    <t>TEOR CRÍTICO CULTURAL (mm)</t>
  </si>
  <si>
    <t>TEOR DE ÁGUA DO SOLO - INÍCIO (mm)</t>
  </si>
  <si>
    <t>ET0 (mm)</t>
  </si>
  <si>
    <t>KC</t>
  </si>
  <si>
    <t>ETC (mm)</t>
  </si>
  <si>
    <t>PRECIPITAÇÃO TOTAL (mm)</t>
  </si>
  <si>
    <t>VARIAÇÃO DA ÁGUA NO SOLO (mm)</t>
  </si>
  <si>
    <t>TEOR DE ÁGUA DO SOLO - SEM REGA (mm)</t>
  </si>
  <si>
    <t>FOLGA PARA PRÓXIMA REGA (mm)</t>
  </si>
  <si>
    <t>REGA - LEITURA DO CONTADOR NO FINAL (m3)</t>
  </si>
  <si>
    <t>REGA - DOSE TOTAL APLICADA (mm)</t>
  </si>
  <si>
    <t>TEOR DE ÁGUA DO SOLO (mm)</t>
  </si>
  <si>
    <t>PERDA DE ÁGUA (CHUVA OU REGA EXCESSIVA)</t>
  </si>
  <si>
    <t>LEITURA DA SONDA (% OU kPa)</t>
  </si>
  <si>
    <t>LEITURA DA SONDA (mm)</t>
  </si>
  <si>
    <t>REGA - DOSE ÚTIL (mm) – APÓS REGA</t>
  </si>
  <si>
    <t>Data sementeira ou plantação:</t>
  </si>
  <si>
    <t>1 - Nutrientes disponibilizados ou a disponibilizar</t>
  </si>
  <si>
    <t>Origem da água:</t>
  </si>
  <si>
    <t>C.E. (dS/m)</t>
  </si>
  <si>
    <t>Origem dos dados:</t>
  </si>
  <si>
    <t>a) Tabela - Referência bibliográfica:</t>
  </si>
  <si>
    <t xml:space="preserve">       b) Análise - Data:</t>
  </si>
  <si>
    <t>Espécies</t>
  </si>
  <si>
    <t>% de Gramíneas</t>
  </si>
  <si>
    <t>% de Leguminosas</t>
  </si>
  <si>
    <t>2 - Necessidades da cultura</t>
  </si>
  <si>
    <t>Produção esperada (kg/ha):</t>
  </si>
  <si>
    <t>Idade (anos):</t>
  </si>
  <si>
    <t>Anexo 1 - Plano de Fertilização</t>
  </si>
  <si>
    <t>Área em manutenção AB:</t>
  </si>
  <si>
    <t>Área de conversão AB:</t>
  </si>
  <si>
    <t>Área em PRODI:</t>
  </si>
  <si>
    <t>Área Total exploração:</t>
  </si>
  <si>
    <t>Bovinos em conversão AB:</t>
  </si>
  <si>
    <t>Bovinos em manutenção AB:</t>
  </si>
  <si>
    <t>Ovinos em conversão AB:</t>
  </si>
  <si>
    <t>Ovinos em manutenção AB:</t>
  </si>
  <si>
    <t>Caprinos em conversão AB:</t>
  </si>
  <si>
    <t>Caprinos em manutenção AB:</t>
  </si>
  <si>
    <t>Assistência técnica em AB:</t>
  </si>
  <si>
    <t>Assistência técnica em PRODI:</t>
  </si>
  <si>
    <t>1 - Caraterização da área de pastagem permanente</t>
  </si>
  <si>
    <t>2 - Maneio do pastoreio</t>
  </si>
  <si>
    <t>Ano ___</t>
  </si>
  <si>
    <t>3 - Controlo da vegetação arbustiva</t>
  </si>
  <si>
    <t>Ano __</t>
  </si>
  <si>
    <t>Área a intervencionar</t>
  </si>
  <si>
    <t>4 - Sementeira/instalação, ressementeira ou melhoria da pastagem permanente</t>
  </si>
  <si>
    <t>Presença de leguminosas</t>
  </si>
  <si>
    <t xml:space="preserve">Ano </t>
  </si>
  <si>
    <t>Fundamentação/ observações</t>
  </si>
  <si>
    <t>Ações de melhoria das estruturas de parqueamento do gado e dos pontos de água acessíveis ao gado</t>
  </si>
  <si>
    <t xml:space="preserve">Tipologia </t>
  </si>
  <si>
    <t>6 - Alterações a efetuar no maneio do efetivo pecuário em pastoreio</t>
  </si>
  <si>
    <t>Espécies e respetivos n.º de CN em pastoreio</t>
  </si>
  <si>
    <t>Ano ______</t>
  </si>
  <si>
    <t>Área (Ha)</t>
  </si>
  <si>
    <t>Maneio Pastoreio</t>
  </si>
  <si>
    <t>Tipo de intervenção</t>
  </si>
  <si>
    <t>Área intervencionada (ha)</t>
  </si>
  <si>
    <t>Controlo vegetação arbustiva</t>
  </si>
  <si>
    <t>Sementeira/ ressementeira/melhoria PP</t>
  </si>
  <si>
    <t>Tipo de  Pastagem Permanente Biodiversa</t>
  </si>
  <si>
    <t>Estruturas de parqueamento do gado</t>
  </si>
  <si>
    <t>Correcções/ Fertilizações</t>
  </si>
  <si>
    <t>Índice</t>
  </si>
  <si>
    <t>Anexo 3 - Plano Alimentar</t>
  </si>
  <si>
    <t>N.º de autorização de exercício de atividade</t>
  </si>
  <si>
    <t>Nome</t>
  </si>
  <si>
    <t>Estabelecimento de venda onde o produto fitofarmaceutico foi adquirido</t>
  </si>
  <si>
    <t>Cliente</t>
  </si>
  <si>
    <t xml:space="preserve">N.º Parcelário: </t>
  </si>
  <si>
    <r>
      <t>m</t>
    </r>
    <r>
      <rPr>
        <b/>
        <vertAlign val="superscript"/>
        <sz val="11"/>
        <color theme="1"/>
        <rFont val="Calibri"/>
        <family val="2"/>
        <scheme val="minor"/>
      </rPr>
      <t>3</t>
    </r>
  </si>
  <si>
    <r>
      <t>P</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5</t>
    </r>
  </si>
  <si>
    <r>
      <t>SO</t>
    </r>
    <r>
      <rPr>
        <b/>
        <vertAlign val="subscript"/>
        <sz val="11"/>
        <color theme="1"/>
        <rFont val="Calibri"/>
        <family val="2"/>
        <scheme val="minor"/>
      </rPr>
      <t>3</t>
    </r>
  </si>
  <si>
    <r>
      <t>Dotação (m</t>
    </r>
    <r>
      <rPr>
        <b/>
        <vertAlign val="superscript"/>
        <sz val="11"/>
        <color theme="1"/>
        <rFont val="Calibri"/>
        <family val="2"/>
        <scheme val="minor"/>
      </rPr>
      <t>3</t>
    </r>
    <r>
      <rPr>
        <b/>
        <sz val="11"/>
        <color theme="1"/>
        <rFont val="Calibri"/>
        <family val="2"/>
        <scheme val="minor"/>
      </rPr>
      <t>/ha):</t>
    </r>
  </si>
  <si>
    <r>
      <t>m</t>
    </r>
    <r>
      <rPr>
        <vertAlign val="superscript"/>
        <sz val="11"/>
        <color theme="1"/>
        <rFont val="Calibri"/>
        <family val="2"/>
        <scheme val="minor"/>
      </rPr>
      <t>3</t>
    </r>
  </si>
  <si>
    <t>Anexo 4 - Plano Boas Práticas de Higiene</t>
  </si>
  <si>
    <t>Anexo 5 - Plano de Reprodução</t>
  </si>
  <si>
    <t>Anexo 6 - Registo de visitas de OC, ERR ou ELA</t>
  </si>
  <si>
    <t>Anexo 2 - Plano de Gestão do Pastoreio</t>
  </si>
  <si>
    <t>Anexo 2 - Plano de Gestão de Pastoreio</t>
  </si>
  <si>
    <t>Anexo 4 - Plano de Boas Práticas de Higiene</t>
  </si>
  <si>
    <t>Anexo 6 - Registo Visitas da OC, AT, ERR ou ELA</t>
  </si>
  <si>
    <t xml:space="preserve">Controlo de entrada na exploração </t>
  </si>
  <si>
    <t>Veículos (ex.: rodilúvio, arcos de desinfeção)</t>
  </si>
  <si>
    <t>Pessoas (ex.: barreira física, pedilúvio, vestiário, outras)</t>
  </si>
  <si>
    <t>Animais (ex.: barreira física /limites)</t>
  </si>
  <si>
    <t xml:space="preserve">Limpeza e desinfeção dos veículos de transporte </t>
  </si>
  <si>
    <t xml:space="preserve">Produtos a utilizar na lavagem e na desinfeção </t>
  </si>
  <si>
    <t xml:space="preserve">Centro de lavagem e desinfecção (se utilizado) </t>
  </si>
  <si>
    <t>Controlo de animais domésticos e selvagens</t>
  </si>
  <si>
    <t>Controlo de roedores e/ou de insectos</t>
  </si>
  <si>
    <t xml:space="preserve">Controlo da qualidade da água </t>
  </si>
  <si>
    <t>Proveniência / renovação</t>
  </si>
  <si>
    <t>Plano de análise de águas</t>
  </si>
  <si>
    <t>Controlo da armazenagem dos alimentos</t>
  </si>
  <si>
    <t>Limpeza, lavagem, desinfecção e manutenção de alojamentos e equipamentos</t>
  </si>
  <si>
    <t>Lavagem e desinfecção de instalações</t>
  </si>
  <si>
    <t>Limpeza de equipamentos</t>
  </si>
  <si>
    <t>Vazio sanitário (ex.: instalações, rotação de pastagens)</t>
  </si>
  <si>
    <t xml:space="preserve">Remoção de camas e dejectos </t>
  </si>
  <si>
    <t xml:space="preserve">Periodicidade </t>
  </si>
  <si>
    <t>Destino (espalhamento, compostagem, outros)</t>
  </si>
  <si>
    <t>Espécie ou lote homogéneo</t>
  </si>
  <si>
    <t>MANEIO REPRODUTIVO</t>
  </si>
  <si>
    <t>Cruzados indeterminados</t>
  </si>
  <si>
    <t>Cruzamentos de linha pura</t>
  </si>
  <si>
    <t>Raça:</t>
  </si>
  <si>
    <t xml:space="preserve">Cruzamento industrial  </t>
  </si>
  <si>
    <t>Raça do pai</t>
  </si>
  <si>
    <t>Raça da mãe</t>
  </si>
  <si>
    <t>FÊMEAS</t>
  </si>
  <si>
    <t>1. Critério para estabelecimento de lotes</t>
  </si>
  <si>
    <t>(Ponto 7 da norma técnica ProdI)</t>
  </si>
  <si>
    <t>Idade</t>
  </si>
  <si>
    <t>2. Método reprodutivo</t>
  </si>
  <si>
    <t>Cobrição</t>
  </si>
  <si>
    <t>4. Época de partos ajustada</t>
  </si>
  <si>
    <t>sim</t>
  </si>
  <si>
    <t>Melhor preço de mercado</t>
  </si>
  <si>
    <t>Estado reprodutivo</t>
  </si>
  <si>
    <t>Transplante de embriões</t>
  </si>
  <si>
    <t>Recursos alimentares</t>
  </si>
  <si>
    <t>Finalidade produtiva</t>
  </si>
  <si>
    <t>Inseminação artificial</t>
  </si>
  <si>
    <t>Melhor fertilidade</t>
  </si>
  <si>
    <t>Utilização de parcelas, instalações</t>
  </si>
  <si>
    <t>3. Proporção de cobrição por época</t>
  </si>
  <si>
    <t>(nº fêmeas por macho reprodutor)</t>
  </si>
  <si>
    <t>Recursos humanos</t>
  </si>
  <si>
    <t>Raça</t>
  </si>
  <si>
    <t>não</t>
  </si>
  <si>
    <t>5. Época de cobrição/inseminação</t>
  </si>
  <si>
    <t>6. Longevidade reprodutiva máxima</t>
  </si>
  <si>
    <t>7. Reinício da reprodução após o parto</t>
  </si>
  <si>
    <t xml:space="preserve">                   8. Assistência pós-parições</t>
  </si>
  <si>
    <t>Ajuda e cuidados no recém-nascido</t>
  </si>
  <si>
    <t>11. Renovação do efetivo  reprodutor</t>
  </si>
  <si>
    <t>Do efetivo/provenientes da exploração</t>
  </si>
  <si>
    <t>Assistência no puerpério da fêmea</t>
  </si>
  <si>
    <t>Adquiridos no exterior da exploração</t>
  </si>
  <si>
    <t>MACHOS REPRODUTORES</t>
  </si>
  <si>
    <t>1. Renovação do efetivo reprodutor</t>
  </si>
  <si>
    <t>2. Idade para início da atividade reprodutiva</t>
  </si>
  <si>
    <t>3. Peso e condição corporal mínimo no início do ciclo de cobrições</t>
  </si>
  <si>
    <t xml:space="preserve">OBSERVAÇÕES: </t>
  </si>
  <si>
    <t>Visita</t>
  </si>
  <si>
    <t>n.º</t>
  </si>
  <si>
    <t>Identificação dos técnicos</t>
  </si>
  <si>
    <t>Data e carimbo</t>
  </si>
  <si>
    <t>Nome   ___________</t>
  </si>
  <si>
    <t>Rubrica ___________</t>
  </si>
  <si>
    <t>Entidade __________</t>
  </si>
  <si>
    <t>Nome   ____________</t>
  </si>
  <si>
    <t>Rubrica ____________</t>
  </si>
  <si>
    <t>Entidade ___________</t>
  </si>
  <si>
    <t>___/___/___</t>
  </si>
  <si>
    <t>....</t>
  </si>
  <si>
    <t>Observações /Recomendações</t>
  </si>
  <si>
    <t>1.2 - Análise da água de rega</t>
  </si>
  <si>
    <t>1.1 - Análises de terras</t>
  </si>
  <si>
    <t>Análises de terras</t>
  </si>
  <si>
    <t>Resultados das análises de terra</t>
  </si>
  <si>
    <t>Registo das atividades</t>
  </si>
  <si>
    <t>Estimativa do risco e/ou NEA</t>
  </si>
  <si>
    <t>Processamento</t>
  </si>
  <si>
    <t>Comercialização</t>
  </si>
  <si>
    <t>Embalagem, transformação</t>
  </si>
  <si>
    <t>Quantificação (Lote nº)</t>
  </si>
  <si>
    <t>Destinatário</t>
  </si>
  <si>
    <t>IDENTIFICAÇÃO DO AVISO DE REGA  com imagem satélite IVDI (dotação recomendada  m3/ha):</t>
  </si>
  <si>
    <t>IDENTIFICAÇÃO DO AVISO DE REGA com imagem satélite IVDI (Data):</t>
  </si>
  <si>
    <t>IDENTIFICAÇÃO DO AVISO DE REGA com sonda (dotação recomendada  m3/ha):</t>
  </si>
  <si>
    <t>IDENTIFICAÇÃO DO AVISO DE REGA com sonda (Data):</t>
  </si>
  <si>
    <t>PREENCHER APENAS OS CAMPOS QUE SE APLICAM</t>
  </si>
  <si>
    <t>Cenário Climático</t>
  </si>
  <si>
    <t>Outras espécies conversão AB:</t>
  </si>
  <si>
    <t>Outras espécies manutenção AB:</t>
  </si>
  <si>
    <t>Bovinos PRODI:</t>
  </si>
  <si>
    <t>Ovinos PRODI:</t>
  </si>
  <si>
    <t>Caprinos PRODI:</t>
  </si>
  <si>
    <t>Outras espécies PRODI:</t>
  </si>
  <si>
    <t>Assistência técnica Maneio Pastagem Permanente:</t>
  </si>
  <si>
    <r>
      <t>Transformação:</t>
    </r>
    <r>
      <rPr>
        <b/>
        <sz val="8"/>
        <color theme="1"/>
        <rFont val="Wingdings"/>
        <charset val="2"/>
      </rPr>
      <t xml:space="preserve"> </t>
    </r>
    <r>
      <rPr>
        <b/>
        <sz val="12"/>
        <color theme="1"/>
        <rFont val="Wingdings"/>
        <charset val="2"/>
      </rPr>
      <t>?</t>
    </r>
  </si>
  <si>
    <t xml:space="preserve">8 – Registo de Pós-colheita </t>
  </si>
  <si>
    <t>9 – Registo de Aquisições/Entradas</t>
  </si>
  <si>
    <t>10 – Registo de Vendas</t>
  </si>
  <si>
    <t>Sim?
Não?</t>
  </si>
  <si>
    <r>
      <t xml:space="preserve">Regante de Classe A </t>
    </r>
    <r>
      <rPr>
        <b/>
        <sz val="14"/>
        <color theme="1"/>
        <rFont val="Calibri"/>
        <family val="2"/>
      </rPr>
      <t>□</t>
    </r>
    <r>
      <rPr>
        <b/>
        <sz val="11"/>
        <color theme="1"/>
        <rFont val="Calibri"/>
        <family val="2"/>
        <scheme val="minor"/>
      </rPr>
      <t xml:space="preserve">
Regante de Classe B+ </t>
    </r>
    <r>
      <rPr>
        <b/>
        <sz val="14"/>
        <color theme="1"/>
        <rFont val="Calibri"/>
        <family val="2"/>
        <scheme val="minor"/>
      </rPr>
      <t>□</t>
    </r>
    <r>
      <rPr>
        <b/>
        <sz val="11"/>
        <color theme="1"/>
        <rFont val="Calibri"/>
        <family val="2"/>
        <scheme val="minor"/>
      </rPr>
      <t xml:space="preserve">
Regante de Classe B </t>
    </r>
    <r>
      <rPr>
        <b/>
        <sz val="14"/>
        <color theme="1"/>
        <rFont val="Calibri"/>
        <family val="2"/>
        <scheme val="minor"/>
      </rPr>
      <t>□</t>
    </r>
  </si>
  <si>
    <t>Título de regante n.º:</t>
  </si>
  <si>
    <t>8 – Registo Pós-Colheita</t>
  </si>
  <si>
    <t>Voltar ao índice</t>
  </si>
  <si>
    <t>(kg/ha)</t>
  </si>
  <si>
    <t>N
(kg/ha)</t>
  </si>
  <si>
    <r>
      <t>P</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 xml:space="preserve">5
</t>
    </r>
    <r>
      <rPr>
        <b/>
        <sz val="11"/>
        <color theme="1"/>
        <rFont val="Calibri"/>
        <family val="2"/>
        <scheme val="minor"/>
      </rPr>
      <t>(kg/ha)</t>
    </r>
  </si>
  <si>
    <r>
      <t>K</t>
    </r>
    <r>
      <rPr>
        <b/>
        <vertAlign val="subscript"/>
        <sz val="11"/>
        <color theme="1"/>
        <rFont val="Calibri"/>
        <family val="2"/>
        <scheme val="minor"/>
      </rPr>
      <t>2</t>
    </r>
    <r>
      <rPr>
        <b/>
        <sz val="11"/>
        <color theme="1"/>
        <rFont val="Calibri"/>
        <family val="2"/>
        <scheme val="minor"/>
      </rPr>
      <t>O
(kg/ha)</t>
    </r>
  </si>
  <si>
    <t>Mg
(kg/ha)</t>
  </si>
  <si>
    <t>Área regada (ha):</t>
  </si>
  <si>
    <t>Fertilizante utilizado</t>
  </si>
  <si>
    <t>Operação cultural</t>
  </si>
  <si>
    <t xml:space="preserve">Ton/ha </t>
  </si>
  <si>
    <t>4. Registo de Proteção Fitossanitária e aplicação de biocidas</t>
  </si>
  <si>
    <t>Tratamento fitossanitário/Aplicação de biocida</t>
  </si>
  <si>
    <t>5C – Registo das atividades pastagens permanentes e pastagens biodiversas</t>
  </si>
  <si>
    <t>1 - Registo das operações culturais</t>
  </si>
  <si>
    <t>2 - Registo do maneio do efetivo pecuário</t>
  </si>
  <si>
    <t>Parqueamento</t>
  </si>
  <si>
    <t>Tipo de fertilização</t>
  </si>
  <si>
    <t>Encabeçamento (CN/ha)</t>
  </si>
  <si>
    <t xml:space="preserve">t/ha </t>
  </si>
  <si>
    <r>
      <t>m</t>
    </r>
    <r>
      <rPr>
        <b/>
        <vertAlign val="superscript"/>
        <sz val="11"/>
        <color theme="1"/>
        <rFont val="Calibri"/>
        <family val="2"/>
        <scheme val="minor"/>
      </rPr>
      <t>3</t>
    </r>
    <r>
      <rPr>
        <b/>
        <sz val="11"/>
        <color theme="1"/>
        <rFont val="Calibri"/>
        <family val="2"/>
        <scheme val="minor"/>
      </rPr>
      <t xml:space="preserve">/ha </t>
    </r>
  </si>
  <si>
    <t>Animais em pastoreio (CN)</t>
  </si>
  <si>
    <t>Capacidade utilizável (m3/m3):</t>
  </si>
  <si>
    <t xml:space="preserve">Classe etária </t>
  </si>
  <si>
    <t>Classe etária</t>
  </si>
  <si>
    <t>TOTAL -&gt;</t>
  </si>
  <si>
    <t>1 - Quantidades de Azoto aplicadas</t>
  </si>
  <si>
    <t>Origem dos nutrientes</t>
  </si>
  <si>
    <t>Tipo de fertilizantes</t>
  </si>
  <si>
    <t>Data de aplicação</t>
  </si>
  <si>
    <r>
      <t>Quantidade de fertilizante aplicada/ha
(kg ou m</t>
    </r>
    <r>
      <rPr>
        <b/>
        <vertAlign val="superscript"/>
        <sz val="11"/>
        <rFont val="Calibri"/>
        <family val="2"/>
        <scheme val="minor"/>
      </rPr>
      <t>3</t>
    </r>
    <r>
      <rPr>
        <b/>
        <sz val="11"/>
        <rFont val="Calibri"/>
        <family val="2"/>
        <scheme val="minor"/>
      </rPr>
      <t>/ha)</t>
    </r>
  </si>
  <si>
    <r>
      <t>Quantidade total de fertilizante aplicada
(kg  ou m</t>
    </r>
    <r>
      <rPr>
        <b/>
        <vertAlign val="superscript"/>
        <sz val="11"/>
        <rFont val="Calibri"/>
        <family val="2"/>
        <scheme val="minor"/>
      </rPr>
      <t>3</t>
    </r>
    <r>
      <rPr>
        <b/>
        <sz val="11"/>
        <rFont val="Calibri"/>
        <family val="2"/>
        <scheme val="minor"/>
      </rPr>
      <t>)</t>
    </r>
  </si>
  <si>
    <r>
      <t>Quantidade total de azoto (N</t>
    </r>
    <r>
      <rPr>
        <b/>
        <vertAlign val="subscript"/>
        <sz val="11"/>
        <rFont val="Calibri"/>
        <family val="2"/>
        <scheme val="minor"/>
      </rPr>
      <t>Total</t>
    </r>
    <r>
      <rPr>
        <b/>
        <sz val="11"/>
        <rFont val="Calibri"/>
        <family val="2"/>
        <scheme val="minor"/>
      </rPr>
      <t>) aplicada
(kg)</t>
    </r>
  </si>
  <si>
    <t>Espécie pecuária</t>
  </si>
  <si>
    <t xml:space="preserve">  (B)/(A)  (%)</t>
  </si>
  <si>
    <r>
      <t xml:space="preserve">(B)= Fertilização de N </t>
    </r>
    <r>
      <rPr>
        <b/>
        <vertAlign val="subscript"/>
        <sz val="11"/>
        <rFont val="Calibri"/>
        <family val="2"/>
        <scheme val="minor"/>
      </rPr>
      <t>Total</t>
    </r>
    <r>
      <rPr>
        <b/>
        <sz val="11"/>
        <rFont val="Calibri"/>
        <family val="2"/>
        <scheme val="minor"/>
      </rPr>
      <t xml:space="preserve"> Orgânico de: efluentes pecuários, seus equiparados, sua mistura ou composto de efluentes pecuários  (kg/ha)</t>
    </r>
  </si>
  <si>
    <t>Tipo de efluente pecuário ou seu equiparado 
(matéria fertilizante)</t>
  </si>
  <si>
    <t>Estrume</t>
  </si>
  <si>
    <t>Chorume</t>
  </si>
  <si>
    <t>Digerido de Unidade de Biogás</t>
  </si>
  <si>
    <t>Sedimentos depositados nos orgãos de armazenamento de efluentes pecuários (por um período até 2 nos)</t>
  </si>
  <si>
    <t>Mistura de um ou mais dos anteriores fertilizantes</t>
  </si>
  <si>
    <r>
      <t>P</t>
    </r>
    <r>
      <rPr>
        <b/>
        <vertAlign val="subscript"/>
        <sz val="11"/>
        <rFont val="Calibri"/>
        <family val="2"/>
        <scheme val="minor"/>
      </rPr>
      <t>2</t>
    </r>
    <r>
      <rPr>
        <b/>
        <sz val="11"/>
        <rFont val="Calibri"/>
        <family val="2"/>
        <scheme val="minor"/>
      </rPr>
      <t>O</t>
    </r>
    <r>
      <rPr>
        <b/>
        <vertAlign val="subscript"/>
        <sz val="11"/>
        <rFont val="Calibri"/>
        <family val="2"/>
        <scheme val="minor"/>
      </rPr>
      <t>5</t>
    </r>
  </si>
  <si>
    <r>
      <t>K</t>
    </r>
    <r>
      <rPr>
        <b/>
        <vertAlign val="subscript"/>
        <sz val="11"/>
        <rFont val="Calibri"/>
        <family val="2"/>
        <scheme val="minor"/>
      </rPr>
      <t>2</t>
    </r>
    <r>
      <rPr>
        <b/>
        <sz val="11"/>
        <rFont val="Calibri"/>
        <family val="2"/>
        <scheme val="minor"/>
      </rPr>
      <t>O</t>
    </r>
  </si>
  <si>
    <t>Fonte de Nutrientes</t>
  </si>
  <si>
    <t>Razão de adsorção de sódio ajustada:</t>
  </si>
  <si>
    <t>Bicarbonatos</t>
  </si>
  <si>
    <t>Ca</t>
  </si>
  <si>
    <t>Cloretos</t>
  </si>
  <si>
    <t>Na</t>
  </si>
  <si>
    <t>Nutrientes disponibilizados por tipo de fertilizantes</t>
  </si>
  <si>
    <t>A2 - Total de outros fertilizantes orgânicos não contabilizados em A1</t>
  </si>
  <si>
    <t>A3 - Total de fertilizantes não orgânicos</t>
  </si>
  <si>
    <t>A1+A2+A3</t>
  </si>
  <si>
    <t>11 – Registo da gestão de efluentes pecuários</t>
  </si>
  <si>
    <t>1 - Capacidade das infraestruturas de armazenamento da exploração agrícola</t>
  </si>
  <si>
    <t>Fossas:</t>
  </si>
  <si>
    <t>Nitreiras:</t>
  </si>
  <si>
    <t>Valas de condução de efluentes:</t>
  </si>
  <si>
    <t>Lagoas impermeáveis:</t>
  </si>
  <si>
    <t>Outros reservatórios:</t>
  </si>
  <si>
    <t>Contratualizada:</t>
  </si>
  <si>
    <t>2 - Quantidade de efluentes pecuários produzidos na exploração agrícola, adquiridos externamente e vendidos/cedidos a terceiros.</t>
  </si>
  <si>
    <t>Categoria animal</t>
  </si>
  <si>
    <t>Espécie animal</t>
  </si>
  <si>
    <t>N.º de animais</t>
  </si>
  <si>
    <t>Quantidade de efluentes pecuários</t>
  </si>
  <si>
    <t>Exploração</t>
  </si>
  <si>
    <t>Estrume (t/ano)</t>
  </si>
  <si>
    <t>Externa</t>
  </si>
  <si>
    <t>Vendido/cedido a terceiros</t>
  </si>
  <si>
    <t>Quantidade de N</t>
  </si>
  <si>
    <t>Total</t>
  </si>
  <si>
    <t>3 - Aplicação de efluentes pecuários</t>
  </si>
  <si>
    <t>Identificação da Parcela (N.º Parcelário)</t>
  </si>
  <si>
    <t>Cultura</t>
  </si>
  <si>
    <t>Áreas de aplicação dos efluentes (ha)</t>
  </si>
  <si>
    <t>Própria exploração</t>
  </si>
  <si>
    <t>Contratualizada</t>
  </si>
  <si>
    <t>Aplicação de efluentes</t>
  </si>
  <si>
    <t>Tipo</t>
  </si>
  <si>
    <t>Data da Aplicação
(dd/mm/aaaa)</t>
  </si>
  <si>
    <r>
      <t>Quantidade
(m</t>
    </r>
    <r>
      <rPr>
        <vertAlign val="superscript"/>
        <sz val="11"/>
        <color theme="1"/>
        <rFont val="Calibri"/>
        <family val="2"/>
        <scheme val="minor"/>
      </rPr>
      <t>3</t>
    </r>
    <r>
      <rPr>
        <sz val="11"/>
        <color theme="1"/>
        <rFont val="Calibri"/>
        <family val="2"/>
        <scheme val="minor"/>
      </rPr>
      <t xml:space="preserve"> ou t)</t>
    </r>
  </si>
  <si>
    <t>Estrume
(t/ano)</t>
  </si>
  <si>
    <t>Parecer emitido por:</t>
  </si>
  <si>
    <t>Parecer</t>
  </si>
  <si>
    <t>Parecer:</t>
  </si>
  <si>
    <t>_________________________________________________________________________________________________</t>
  </si>
  <si>
    <t>__________________________________________________________________________________________________________</t>
  </si>
  <si>
    <t>Aprovado</t>
  </si>
  <si>
    <t>Assinatura e carimbo da entidade:</t>
  </si>
  <si>
    <t>___________________________________</t>
  </si>
  <si>
    <t>Para:</t>
  </si>
  <si>
    <t>Plano de Fertilização</t>
  </si>
  <si>
    <t>Plano de Gestão do Pastoreio</t>
  </si>
  <si>
    <t>Emissão de Parecer</t>
  </si>
  <si>
    <t>Anexo 7 - Parecer Planos</t>
  </si>
  <si>
    <t>(mg/l)</t>
  </si>
  <si>
    <r>
      <t xml:space="preserve">4. Avaliação da aptidão para a reprodução </t>
    </r>
    <r>
      <rPr>
        <sz val="11"/>
        <color theme="1"/>
        <rFont val="Calibri"/>
        <family val="2"/>
        <scheme val="minor"/>
      </rPr>
      <t>(apenas para animais de linha pura e deve ser resultante da respetiva informação do LG/RZ)</t>
    </r>
  </si>
  <si>
    <t>2 - Caracterização das áreas sob compromisso</t>
  </si>
  <si>
    <t>Data do contrato com a ERR</t>
  </si>
  <si>
    <t>Espécies existentes no coberto vegetal</t>
  </si>
  <si>
    <t>Previsão total de nutrientes a disponibilizar à cultura</t>
  </si>
  <si>
    <t>Modo de produção</t>
  </si>
  <si>
    <t>Espécie animal:</t>
  </si>
  <si>
    <t>Grupo homogéneo:</t>
  </si>
  <si>
    <t>4 - Registo de Proteção Fitossanitária e aplicação de biocidas</t>
  </si>
  <si>
    <t>Área 
(ha)</t>
  </si>
  <si>
    <t>Área
(ha)</t>
  </si>
  <si>
    <t>Grau infestantes</t>
  </si>
  <si>
    <t>n.º seq.  parcela/zona homogénea</t>
  </si>
  <si>
    <t>5 - Operações a efetuar nos próximos 3/5 anos</t>
  </si>
  <si>
    <r>
      <t>Tipo de</t>
    </r>
    <r>
      <rPr>
        <sz val="11"/>
        <color theme="1"/>
        <rFont val="Calibri"/>
        <family val="2"/>
        <scheme val="minor"/>
      </rPr>
      <t xml:space="preserve"> intervenção</t>
    </r>
  </si>
  <si>
    <t>Quantidade/m</t>
  </si>
  <si>
    <r>
      <rPr>
        <sz val="11"/>
        <rFont val="Calibri"/>
        <family val="2"/>
        <scheme val="minor"/>
      </rPr>
      <t>Rotação</t>
    </r>
    <r>
      <rPr>
        <sz val="11"/>
        <color theme="1"/>
        <rFont val="Calibri"/>
        <family val="2"/>
        <scheme val="minor"/>
      </rPr>
      <t xml:space="preserve"> das </t>
    </r>
    <r>
      <rPr>
        <sz val="11"/>
        <rFont val="Calibri"/>
        <family val="2"/>
        <scheme val="minor"/>
      </rPr>
      <t>sub</t>
    </r>
    <r>
      <rPr>
        <sz val="11"/>
        <color theme="1"/>
        <rFont val="Calibri"/>
        <family val="2"/>
        <scheme val="minor"/>
      </rPr>
      <t>parcelas/zonas homogéneas</t>
    </r>
  </si>
  <si>
    <t>Parâmetro</t>
  </si>
  <si>
    <t>Período</t>
  </si>
  <si>
    <t>Medidas Higiosanitárias e de Biosegurança Previstas</t>
  </si>
  <si>
    <t>Quantidade de nutriente fornecida pela água de rega (kg/ha)</t>
  </si>
  <si>
    <t>Resultado análises</t>
  </si>
  <si>
    <t>Cultura permanente em fase de:</t>
  </si>
  <si>
    <t>Instalação</t>
  </si>
  <si>
    <t>Manutenção até entrada em produção</t>
  </si>
  <si>
    <t>Em produção</t>
  </si>
  <si>
    <t>Composto de bioresíduos de origem agrícola</t>
  </si>
  <si>
    <t>Composto orgânico de Unidade de tratamento de residuos sólidos urbanos (Decreto-Lei n.º 30/2022)</t>
  </si>
  <si>
    <t>1.4 - Composição dos fertilizantes orgânicos</t>
  </si>
  <si>
    <t>Total (kg/ha):</t>
  </si>
  <si>
    <t>Inimigo</t>
  </si>
  <si>
    <t>Justificação de Intervenção</t>
  </si>
  <si>
    <t>Nome comercial</t>
  </si>
  <si>
    <t>Nome de S.A/Biocida/Subs. de Base</t>
  </si>
  <si>
    <t>M.O.(%)</t>
  </si>
  <si>
    <t>N.º de amostras</t>
  </si>
  <si>
    <t>N (%)</t>
  </si>
  <si>
    <t>Ca (%)</t>
  </si>
  <si>
    <t>Mg (%)</t>
  </si>
  <si>
    <t>P (%)</t>
  </si>
  <si>
    <r>
      <t>K</t>
    </r>
    <r>
      <rPr>
        <b/>
        <sz val="11"/>
        <color theme="1"/>
        <rFont val="Calibri"/>
        <family val="2"/>
        <scheme val="minor"/>
      </rPr>
      <t xml:space="preserve"> (%)</t>
    </r>
  </si>
  <si>
    <t>S (%)</t>
  </si>
  <si>
    <t>Fe (mg/kg)</t>
  </si>
  <si>
    <t>Mn (mg/kg)</t>
  </si>
  <si>
    <t>Zn (mg/kg)</t>
  </si>
  <si>
    <t>Cu (mg/kg)</t>
  </si>
  <si>
    <t>Elemento/nutriente</t>
  </si>
  <si>
    <t>Nutrientes</t>
  </si>
  <si>
    <t>Quantidade de fertilizante (kg/ha)</t>
  </si>
  <si>
    <r>
      <t>P</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5</t>
    </r>
    <r>
      <rPr>
        <b/>
        <sz val="11"/>
        <color theme="1"/>
        <rFont val="Calibri"/>
        <family val="2"/>
        <scheme val="minor"/>
      </rPr>
      <t xml:space="preserve">
(kg/ha)</t>
    </r>
  </si>
  <si>
    <t>5D – Registo das atividades fertilização azotada</t>
  </si>
  <si>
    <t>A deduzir no cálculo da fertilização azotada (kg/ha)</t>
  </si>
  <si>
    <t xml:space="preserve">N.º CN/ha </t>
  </si>
  <si>
    <t>A1 - Total de fertilizantes Orgânicos (só efluentes pecuários e seus equiparados)</t>
  </si>
  <si>
    <t>5D – Registo de Atividades de Fertilização Azotada</t>
  </si>
  <si>
    <t>Resultado das análises</t>
  </si>
  <si>
    <t>Classe de fertilidade</t>
  </si>
  <si>
    <t>Data emissão resultados:</t>
  </si>
  <si>
    <t>Data da colheita de terras:</t>
  </si>
  <si>
    <t>K</t>
  </si>
  <si>
    <t>Azoto mineral</t>
  </si>
  <si>
    <t>Azoto nítrico</t>
  </si>
  <si>
    <t>Azoto total</t>
  </si>
  <si>
    <r>
      <t>pH(H</t>
    </r>
    <r>
      <rPr>
        <b/>
        <vertAlign val="subscript"/>
        <sz val="11"/>
        <color theme="1"/>
        <rFont val="Calibri"/>
        <family val="2"/>
        <scheme val="minor"/>
      </rPr>
      <t>2</t>
    </r>
    <r>
      <rPr>
        <b/>
        <sz val="11"/>
        <color theme="1"/>
        <rFont val="Calibri"/>
        <family val="2"/>
        <scheme val="minor"/>
      </rPr>
      <t>O)</t>
    </r>
  </si>
  <si>
    <t>Identificar se a avaliação do teor de potássio na água de rega foi expresso em:</t>
  </si>
  <si>
    <t>Data da colheita da água:</t>
  </si>
  <si>
    <t>Classificação</t>
  </si>
  <si>
    <t>Data da colheita do material vegetal:</t>
  </si>
  <si>
    <t>1.6 - Azoto proveniente dos resíduos das culturas precedentes</t>
  </si>
  <si>
    <t>N (kg/ha):</t>
  </si>
  <si>
    <t>1.7 - Nutrientes principais provenientes do excreta dos animais em pastoreio</t>
  </si>
  <si>
    <t>Nome Comercial/ Origem da M.O.</t>
  </si>
  <si>
    <t>Teor em N
(%)</t>
  </si>
  <si>
    <t>3 - Nível de fertilização orgânica</t>
  </si>
  <si>
    <t>4 - Práticas adotadas na valorização agrícola dos efluentes pecuários</t>
  </si>
  <si>
    <t>4.1 - Chorume</t>
  </si>
  <si>
    <t>4.1.1 -  Aplicou chorume?</t>
  </si>
  <si>
    <t>4.1.2 -  Qual o equipamento usado para a aplicação de chorume?</t>
  </si>
  <si>
    <t>4.1.3 -  Qual o tempo decorrido para a incorporação de chorume no solo?</t>
  </si>
  <si>
    <t>4.1.4 -  Qual a fase do processo produtivo em que aplicou chorume?</t>
  </si>
  <si>
    <t>4.2 - Estrume ou outro fertilizante orgânico (FO, alínea b) do n.º 1 do artigo 31º) exceto chorume</t>
  </si>
  <si>
    <t>4.2.1 -  Aplicou estrume ou outra F.O. (exceto chorume)?</t>
  </si>
  <si>
    <t>4.2.2 -  Qual o tempo decorrido para a incorporação de estrume ou outro FO no solo?</t>
  </si>
  <si>
    <r>
      <t xml:space="preserve">3.1 - Nível de fertilização orgânica </t>
    </r>
    <r>
      <rPr>
        <b/>
        <sz val="11"/>
        <color theme="1"/>
        <rFont val="Calibri"/>
        <family val="2"/>
      </rPr>
      <t>≥25% e &lt;50%?</t>
    </r>
  </si>
  <si>
    <r>
      <t xml:space="preserve">3.2 - Nível de fertilização orgânica </t>
    </r>
    <r>
      <rPr>
        <b/>
        <sz val="11"/>
        <color theme="1"/>
        <rFont val="Calibri"/>
        <family val="2"/>
      </rPr>
      <t>≥50%?</t>
    </r>
  </si>
  <si>
    <t>2 - Azoto fornecido pela água de rega</t>
  </si>
  <si>
    <t>Método de rega</t>
  </si>
  <si>
    <t>Eficiência de rega 
(%)</t>
  </si>
  <si>
    <r>
      <t>Volume aplicado
(m</t>
    </r>
    <r>
      <rPr>
        <b/>
        <vertAlign val="superscript"/>
        <sz val="11"/>
        <rFont val="Calibri"/>
        <family val="2"/>
        <scheme val="minor"/>
      </rPr>
      <t>3</t>
    </r>
    <r>
      <rPr>
        <b/>
        <sz val="11"/>
        <rFont val="Calibri"/>
        <family val="2"/>
        <scheme val="minor"/>
      </rPr>
      <t>/zona homogénea ou parcela)</t>
    </r>
  </si>
  <si>
    <r>
      <t>Dotação Total
(m</t>
    </r>
    <r>
      <rPr>
        <b/>
        <vertAlign val="superscript"/>
        <sz val="11"/>
        <rFont val="Calibri"/>
        <family val="2"/>
        <scheme val="minor"/>
      </rPr>
      <t>3</t>
    </r>
    <r>
      <rPr>
        <b/>
        <sz val="11"/>
        <rFont val="Calibri"/>
        <family val="2"/>
        <scheme val="minor"/>
      </rPr>
      <t>/ha)</t>
    </r>
  </si>
  <si>
    <t>Teor em Nitratos
(mg/l)</t>
  </si>
  <si>
    <t xml:space="preserve">kg de N / ha  </t>
  </si>
  <si>
    <t>Quantidade de produto aplicado (kg ou Litros de produto comercial)</t>
  </si>
  <si>
    <t>Aplicação de nutrientes (kg)</t>
  </si>
  <si>
    <r>
      <t xml:space="preserve">Observações / </t>
    </r>
    <r>
      <rPr>
        <b/>
        <sz val="11"/>
        <rFont val="Calibri"/>
        <family val="2"/>
        <scheme val="minor"/>
      </rPr>
      <t>Objetivo</t>
    </r>
  </si>
  <si>
    <r>
      <t>(mm/m</t>
    </r>
    <r>
      <rPr>
        <b/>
        <vertAlign val="superscript"/>
        <sz val="11"/>
        <rFont val="Calibri"/>
        <family val="2"/>
        <scheme val="minor"/>
      </rPr>
      <t xml:space="preserve">2 </t>
    </r>
    <r>
      <rPr>
        <b/>
        <sz val="11"/>
        <rFont val="Calibri"/>
        <family val="2"/>
        <scheme val="minor"/>
      </rPr>
      <t>ou m</t>
    </r>
    <r>
      <rPr>
        <b/>
        <vertAlign val="superscript"/>
        <sz val="11"/>
        <rFont val="Calibri"/>
        <family val="2"/>
        <scheme val="minor"/>
      </rPr>
      <t>3</t>
    </r>
    <r>
      <rPr>
        <b/>
        <sz val="11"/>
        <rFont val="Calibri"/>
        <family val="2"/>
        <scheme val="minor"/>
      </rPr>
      <t xml:space="preserve">/ha) </t>
    </r>
  </si>
  <si>
    <r>
      <t>P</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5</t>
    </r>
    <r>
      <rPr>
        <b/>
        <sz val="11"/>
        <color theme="1"/>
        <rFont val="Calibri"/>
        <family val="2"/>
        <scheme val="minor"/>
      </rPr>
      <t xml:space="preserve"> total por espécie</t>
    </r>
  </si>
  <si>
    <r>
      <t>Valor de referência K</t>
    </r>
    <r>
      <rPr>
        <b/>
        <vertAlign val="subscript"/>
        <sz val="11"/>
        <color theme="1"/>
        <rFont val="Calibri"/>
        <family val="2"/>
        <scheme val="minor"/>
      </rPr>
      <t>2</t>
    </r>
    <r>
      <rPr>
        <b/>
        <sz val="11"/>
        <color theme="1"/>
        <rFont val="Calibri"/>
        <family val="2"/>
        <scheme val="minor"/>
      </rPr>
      <t>O</t>
    </r>
  </si>
  <si>
    <r>
      <t>Valor de referência P</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5</t>
    </r>
  </si>
  <si>
    <t>Valor de referência N</t>
  </si>
  <si>
    <t>Aplicação de nutrientes (kg/ha)</t>
  </si>
  <si>
    <r>
      <t>Chorume (m</t>
    </r>
    <r>
      <rPr>
        <b/>
        <vertAlign val="superscript"/>
        <sz val="11"/>
        <color theme="1"/>
        <rFont val="Calibri"/>
        <family val="2"/>
        <scheme val="minor"/>
      </rPr>
      <t>3</t>
    </r>
    <r>
      <rPr>
        <b/>
        <sz val="11"/>
        <color theme="1"/>
        <rFont val="Calibri"/>
        <family val="2"/>
        <scheme val="minor"/>
      </rPr>
      <t>/ano)</t>
    </r>
  </si>
  <si>
    <t>Quando são disponibilizados resultados analíticos referentes ao teor de azoto do solo, identificar se este corresponde a:</t>
  </si>
  <si>
    <t>Profundidade da colheita da amostra (cm):</t>
  </si>
  <si>
    <t>1.3 - Análise foliar</t>
  </si>
  <si>
    <t>3. Caracterização do efetivo pecuário sob compromisso na exploração</t>
  </si>
  <si>
    <t>3 - Caracterização do efetivo pecuário sob compromisso na exploração</t>
  </si>
  <si>
    <t>5.1 - Sementeira com espécies pratenses</t>
  </si>
  <si>
    <t>Espécies pratenses</t>
  </si>
  <si>
    <t>5.2 - Calagem ou aplicação de outros fertilizantes</t>
  </si>
  <si>
    <t>Corretivo/outro fertilizante aplicado</t>
  </si>
  <si>
    <t>5.3 - Ações de preservação do coberto arbóreo</t>
  </si>
  <si>
    <t>Espécies arbóreas</t>
  </si>
  <si>
    <t>Ações de preservação aconselhadas</t>
  </si>
  <si>
    <t>Época do ano</t>
  </si>
  <si>
    <t>Periocidade</t>
  </si>
  <si>
    <t>5.4 - Ações de melhoria do estado geral da pastagem</t>
  </si>
  <si>
    <t>Ações a implementar</t>
  </si>
  <si>
    <t>Ano/Periocidade</t>
  </si>
  <si>
    <t>Nome completo do técnico que emite parecer: _________________________________________________</t>
  </si>
  <si>
    <t>________________________________________________________________________________________</t>
  </si>
  <si>
    <t>Calagem
(kg/ha)</t>
  </si>
  <si>
    <t>Identificar o tipo de calcário aplicado:</t>
  </si>
  <si>
    <t>Quantidade de corretivo/outro fertilizante a aplicar
(kg/ha)</t>
  </si>
  <si>
    <t>Data da rega
(dd-mm-aaaa)</t>
  </si>
  <si>
    <r>
      <t>(A) = Fertilização N</t>
    </r>
    <r>
      <rPr>
        <b/>
        <vertAlign val="subscript"/>
        <sz val="11"/>
        <rFont val="Calibri"/>
        <family val="2"/>
        <scheme val="minor"/>
      </rPr>
      <t>Total</t>
    </r>
    <r>
      <rPr>
        <b/>
        <sz val="11"/>
        <rFont val="Calibri"/>
        <family val="2"/>
        <scheme val="minor"/>
      </rPr>
      <t xml:space="preserve">
(kg </t>
    </r>
    <r>
      <rPr>
        <b/>
        <sz val="12"/>
        <rFont val="Calibri"/>
        <family val="2"/>
        <scheme val="minor"/>
      </rPr>
      <t>/</t>
    </r>
    <r>
      <rPr>
        <b/>
        <sz val="11"/>
        <rFont val="Calibri"/>
        <family val="2"/>
        <scheme val="minor"/>
      </rPr>
      <t>ha)</t>
    </r>
  </si>
  <si>
    <r>
      <t>Composição</t>
    </r>
    <r>
      <rPr>
        <b/>
        <strike/>
        <sz val="11"/>
        <rFont val="Calibri"/>
        <family val="2"/>
        <scheme val="minor"/>
      </rPr>
      <t xml:space="preserve"> </t>
    </r>
    <r>
      <rPr>
        <b/>
        <sz val="11"/>
        <rFont val="Calibri"/>
        <family val="2"/>
        <scheme val="minor"/>
      </rPr>
      <t xml:space="preserve"> kg/t (sólidos) ou kg/m</t>
    </r>
    <r>
      <rPr>
        <b/>
        <vertAlign val="superscript"/>
        <sz val="11"/>
        <rFont val="Calibri"/>
        <family val="2"/>
        <scheme val="minor"/>
      </rPr>
      <t>3</t>
    </r>
    <r>
      <rPr>
        <b/>
        <sz val="11"/>
        <rFont val="Calibri"/>
        <family val="2"/>
        <scheme val="minor"/>
      </rPr>
      <t xml:space="preserve"> (líquidos) da matéria fertilizante</t>
    </r>
  </si>
  <si>
    <t>B 
(mg/kg)</t>
  </si>
  <si>
    <t>N total por espécie/há</t>
  </si>
  <si>
    <r>
      <t>K</t>
    </r>
    <r>
      <rPr>
        <b/>
        <vertAlign val="subscript"/>
        <sz val="11"/>
        <color theme="1"/>
        <rFont val="Calibri"/>
        <family val="2"/>
        <scheme val="minor"/>
      </rPr>
      <t>2</t>
    </r>
    <r>
      <rPr>
        <b/>
        <sz val="11"/>
        <color theme="1"/>
        <rFont val="Calibri"/>
        <family val="2"/>
        <scheme val="minor"/>
      </rPr>
      <t xml:space="preserve">O total por espécie/ha </t>
    </r>
  </si>
  <si>
    <t xml:space="preserve">       b) Recomendações dos boletins com resultado das análises de terras e/ou foliares</t>
  </si>
  <si>
    <t>4 - plano de aplicação de fertilizantes</t>
  </si>
  <si>
    <t>Fornecedor</t>
  </si>
  <si>
    <r>
      <t>Quantidade de N</t>
    </r>
    <r>
      <rPr>
        <b/>
        <vertAlign val="subscript"/>
        <sz val="11"/>
        <rFont val="Calibri"/>
        <family val="2"/>
        <scheme val="minor"/>
      </rPr>
      <t xml:space="preserve">Total </t>
    </r>
    <r>
      <rPr>
        <b/>
        <sz val="11"/>
        <rFont val="Calibri"/>
        <family val="2"/>
        <scheme val="minor"/>
      </rPr>
      <t>aplicada/ha
(kg/ha)</t>
    </r>
  </si>
  <si>
    <r>
      <t>Quantidade N</t>
    </r>
    <r>
      <rPr>
        <b/>
        <vertAlign val="subscript"/>
        <sz val="11"/>
        <rFont val="Calibri"/>
        <family val="2"/>
        <scheme val="minor"/>
      </rPr>
      <t xml:space="preserve">total </t>
    </r>
    <r>
      <rPr>
        <b/>
        <sz val="11"/>
        <rFont val="Calibri"/>
        <family val="2"/>
        <scheme val="minor"/>
      </rPr>
      <t>existente no fertilizante 
(mg N</t>
    </r>
    <r>
      <rPr>
        <b/>
        <vertAlign val="subscript"/>
        <sz val="11"/>
        <rFont val="Calibri"/>
        <family val="2"/>
        <scheme val="minor"/>
      </rPr>
      <t>total</t>
    </r>
    <r>
      <rPr>
        <b/>
        <sz val="11"/>
        <rFont val="Calibri"/>
        <family val="2"/>
        <scheme val="minor"/>
      </rPr>
      <t>/ kg ou m</t>
    </r>
    <r>
      <rPr>
        <b/>
        <vertAlign val="superscript"/>
        <sz val="11"/>
        <rFont val="Calibri"/>
        <family val="2"/>
        <scheme val="minor"/>
      </rPr>
      <t>3</t>
    </r>
    <r>
      <rPr>
        <b/>
        <sz val="11"/>
        <rFont val="Calibri"/>
        <family val="2"/>
        <scheme val="minor"/>
      </rPr>
      <t xml:space="preserve"> de fertilizante)</t>
    </r>
  </si>
  <si>
    <t>D MMM</t>
  </si>
  <si>
    <t>3 - Plano de aplicação de nutrientes a disponibilizar à cultura</t>
  </si>
  <si>
    <t>Se aplica biocidas nas áreas de passagem ou instalações não destinadas à guarda de produtos vegetais  indicar o local:</t>
  </si>
  <si>
    <r>
      <t>Área tratada
(ha ou m</t>
    </r>
    <r>
      <rPr>
        <b/>
        <vertAlign val="superscript"/>
        <sz val="11"/>
        <color theme="1"/>
        <rFont val="Calibri"/>
        <family val="2"/>
        <scheme val="minor"/>
      </rPr>
      <t>2</t>
    </r>
    <r>
      <rPr>
        <b/>
        <sz val="11"/>
        <color theme="1"/>
        <rFont val="Calibri"/>
        <family val="2"/>
        <scheme val="minor"/>
      </rPr>
      <t>)</t>
    </r>
  </si>
  <si>
    <t>CCDR a que pertence:</t>
  </si>
  <si>
    <r>
      <t xml:space="preserve">Produção de matéria </t>
    </r>
    <r>
      <rPr>
        <sz val="10"/>
        <rFont val="Calibri"/>
        <family val="2"/>
        <scheme val="minor"/>
      </rPr>
      <t>verde</t>
    </r>
    <r>
      <rPr>
        <sz val="10"/>
        <color theme="1"/>
        <rFont val="Calibri"/>
        <family val="2"/>
        <scheme val="minor"/>
      </rPr>
      <t xml:space="preserve"> (t/ha)</t>
    </r>
  </si>
  <si>
    <t>Teor de matéria seca (%)</t>
  </si>
  <si>
    <t>Produção de matéria seca (t/ha)</t>
  </si>
  <si>
    <t>Teor de azoto (% N na MS)</t>
  </si>
  <si>
    <t>Quantidade de azoto (N) disponível por tonelada MS (kg/t MS)</t>
  </si>
  <si>
    <t>Quantidade de azoto (N) disponível por hectare (kg/ha)</t>
  </si>
  <si>
    <t>1.5 - Azoto fornecido pela adubação verde</t>
  </si>
  <si>
    <t>Alteração ao Plano de Fertilização</t>
  </si>
  <si>
    <t>Alteração ao Plano de Gestão do Pastoreio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</si>
</sst>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d\-mm\-yyyy;@"/>
    <numFmt numFmtId="166" formatCode="0.0"/>
  </numFmts>
  <fonts count="56" x14ac:knownFonts="1">
    <font>
      <sz val="11"/>
      <color theme="1"/>
      <name val="Calibri"/>
      <family val="2"/>
      <scheme val="minor"/>
    </font>
    <font>
      <b/>
      <sz val="11"/>
      <color theme="1"/>
      <name val="Calibri"/>
      <family val="2"/>
      <scheme val="minor"/>
    </font>
    <font>
      <b/>
      <sz val="8"/>
      <color theme="1"/>
      <name val="Verdana"/>
      <family val="2"/>
    </font>
    <font>
      <sz val="8"/>
      <color theme="1"/>
      <name val="Verdana"/>
      <family val="2"/>
    </font>
    <font>
      <b/>
      <sz val="7"/>
      <color theme="1"/>
      <name val="Verdana"/>
      <family val="2"/>
    </font>
    <font>
      <b/>
      <sz val="9"/>
      <color indexed="81"/>
      <name val="Tahoma"/>
      <family val="2"/>
    </font>
    <font>
      <sz val="9"/>
      <color indexed="81"/>
      <name val="Tahoma"/>
      <family val="2"/>
    </font>
    <font>
      <sz val="8"/>
      <color rgb="FF4C4C4C"/>
      <name val="Verdana"/>
      <family val="2"/>
    </font>
    <font>
      <sz val="7"/>
      <color theme="1"/>
      <name val="Verdana"/>
      <family val="2"/>
    </font>
    <font>
      <sz val="11"/>
      <color rgb="FFFF0000"/>
      <name val="Calibri"/>
      <family val="2"/>
      <scheme val="minor"/>
    </font>
    <font>
      <b/>
      <sz val="8"/>
      <color rgb="FF4C4C4C"/>
      <name val="Verdana"/>
      <family val="2"/>
    </font>
    <font>
      <sz val="5"/>
      <color theme="1"/>
      <name val="Verdana"/>
      <family val="2"/>
    </font>
    <font>
      <i/>
      <sz val="11"/>
      <color theme="1"/>
      <name val="Calibri"/>
      <family val="2"/>
      <scheme val="minor"/>
    </font>
    <font>
      <sz val="8"/>
      <color theme="1"/>
      <name val="Calibri"/>
      <family val="2"/>
      <scheme val="minor"/>
    </font>
    <font>
      <b/>
      <i/>
      <sz val="11"/>
      <color theme="1"/>
      <name val="Calibri"/>
      <family val="2"/>
      <scheme val="minor"/>
    </font>
    <font>
      <b/>
      <vertAlign val="subscript"/>
      <sz val="11"/>
      <color theme="1"/>
      <name val="Calibri"/>
      <family val="2"/>
      <scheme val="minor"/>
    </font>
    <font>
      <b/>
      <sz val="8"/>
      <color indexed="81"/>
      <name val="Verdana"/>
      <family val="2"/>
    </font>
    <font>
      <b/>
      <sz val="13"/>
      <color theme="1"/>
      <name val="Calibri"/>
      <family val="2"/>
      <scheme val="minor"/>
    </font>
    <font>
      <sz val="11"/>
      <name val="Calibri"/>
      <family val="2"/>
      <scheme val="minor"/>
    </font>
    <font>
      <sz val="11"/>
      <color rgb="FF4C4C4C"/>
      <name val="Calibri"/>
      <family val="2"/>
      <scheme val="minor"/>
    </font>
    <font>
      <b/>
      <sz val="11"/>
      <color rgb="FF4C4C4C"/>
      <name val="Calibri"/>
      <family val="2"/>
      <scheme val="minor"/>
    </font>
    <font>
      <sz val="13"/>
      <color theme="1"/>
      <name val="Calibri"/>
      <family val="2"/>
      <scheme val="minor"/>
    </font>
    <font>
      <b/>
      <sz val="11"/>
      <name val="Calibri"/>
      <family val="2"/>
      <scheme val="minor"/>
    </font>
    <font>
      <vertAlign val="superscript"/>
      <sz val="11"/>
      <color theme="1"/>
      <name val="Calibri"/>
      <family val="2"/>
      <scheme val="minor"/>
    </font>
    <font>
      <b/>
      <vertAlign val="superscript"/>
      <sz val="11"/>
      <color theme="1"/>
      <name val="Calibri"/>
      <family val="2"/>
      <scheme val="minor"/>
    </font>
    <font>
      <b/>
      <sz val="11"/>
      <color rgb="FFFF0000"/>
      <name val="Calibri"/>
      <family val="2"/>
      <scheme val="minor"/>
    </font>
    <font>
      <sz val="11"/>
      <color rgb="FF00B0F0"/>
      <name val="Calibri"/>
      <family val="2"/>
      <scheme val="minor"/>
    </font>
    <font>
      <b/>
      <sz val="6"/>
      <color theme="1"/>
      <name val="Verdana"/>
      <family val="2"/>
    </font>
    <font>
      <b/>
      <sz val="11"/>
      <color theme="4"/>
      <name val="Calibri"/>
      <family val="2"/>
      <scheme val="minor"/>
    </font>
    <font>
      <b/>
      <sz val="8"/>
      <color theme="1"/>
      <name val="Wingdings"/>
      <charset val="2"/>
    </font>
    <font>
      <b/>
      <sz val="12"/>
      <color theme="1"/>
      <name val="Wingdings"/>
      <charset val="2"/>
    </font>
    <font>
      <b/>
      <sz val="14"/>
      <color theme="1"/>
      <name val="Calibri"/>
      <family val="2"/>
      <scheme val="minor"/>
    </font>
    <font>
      <b/>
      <sz val="14"/>
      <color theme="1"/>
      <name val="Calibri"/>
      <family val="2"/>
    </font>
    <font>
      <u/>
      <sz val="11"/>
      <color theme="10"/>
      <name val="Calibri"/>
      <family val="2"/>
      <scheme val="minor"/>
    </font>
    <font>
      <sz val="9"/>
      <color rgb="FF00B0F0"/>
      <name val="Calibri"/>
      <family val="2"/>
      <scheme val="minor"/>
    </font>
    <font>
      <b/>
      <vertAlign val="superscript"/>
      <sz val="11"/>
      <name val="Calibri"/>
      <family val="2"/>
      <scheme val="minor"/>
    </font>
    <font>
      <b/>
      <vertAlign val="subscript"/>
      <sz val="11"/>
      <name val="Calibri"/>
      <family val="2"/>
      <scheme val="minor"/>
    </font>
    <font>
      <b/>
      <sz val="12"/>
      <name val="Calibri"/>
      <family val="2"/>
      <scheme val="minor"/>
    </font>
    <font>
      <b/>
      <sz val="11"/>
      <color theme="1"/>
      <name val="Calibri"/>
      <family val="2"/>
    </font>
    <font>
      <b/>
      <sz val="11"/>
      <color rgb="FF00B0F0"/>
      <name val="Calibri"/>
      <family val="2"/>
      <scheme val="minor"/>
    </font>
    <font>
      <sz val="8"/>
      <name val="Verdana"/>
      <family val="2"/>
    </font>
    <font>
      <b/>
      <sz val="9"/>
      <color rgb="FFFF0000"/>
      <name val="Calibri"/>
      <family val="2"/>
      <scheme val="minor"/>
    </font>
    <font>
      <b/>
      <vertAlign val="superscript"/>
      <sz val="9"/>
      <color indexed="81"/>
      <name val="Tahoma"/>
      <family val="2"/>
    </font>
    <font>
      <b/>
      <vertAlign val="subscript"/>
      <sz val="9"/>
      <color indexed="81"/>
      <name val="Tahoma"/>
      <family val="2"/>
    </font>
    <font>
      <b/>
      <u/>
      <sz val="9"/>
      <color indexed="81"/>
      <name val="Tahoma"/>
      <family val="2"/>
    </font>
    <font>
      <b/>
      <sz val="11"/>
      <name val="Calibri"/>
      <family val="2"/>
    </font>
    <font>
      <b/>
      <strike/>
      <sz val="11"/>
      <name val="Calibri"/>
      <family val="2"/>
      <scheme val="minor"/>
    </font>
    <font>
      <b/>
      <i/>
      <sz val="9"/>
      <color indexed="81"/>
      <name val="Tahoma"/>
      <family val="2"/>
    </font>
    <font>
      <b/>
      <sz val="9"/>
      <color indexed="57"/>
      <name val="Tahoma"/>
      <family val="2"/>
    </font>
    <font>
      <sz val="11"/>
      <color theme="4" tint="-0.24994659260841701"/>
      <name val="Calibri"/>
      <family val="2"/>
      <scheme val="minor"/>
    </font>
    <font>
      <b/>
      <sz val="11"/>
      <color rgb="FF12CBD0"/>
      <name val="Calibri"/>
      <family val="2"/>
      <scheme val="minor"/>
    </font>
    <font>
      <sz val="9"/>
      <name val="Calibri"/>
      <family val="2"/>
      <scheme val="minor"/>
    </font>
    <font>
      <b/>
      <sz val="9"/>
      <color indexed="48"/>
      <name val="Tahoma"/>
      <family val="2"/>
    </font>
    <font>
      <b/>
      <sz val="9"/>
      <color indexed="81"/>
      <name val="Verdana"/>
      <family val="2"/>
    </font>
    <font>
      <sz val="10"/>
      <color theme="1"/>
      <name val="Calibri"/>
      <family val="2"/>
      <scheme val="minor"/>
    </font>
    <font>
      <sz val="10"/>
      <name val="Calibri"/>
      <family val="2"/>
      <scheme val="minor"/>
    </font>
  </fonts>
  <fills count="7">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s>
  <borders count="121">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medium">
        <color indexed="64"/>
      </left>
      <right style="medium">
        <color indexed="64"/>
      </right>
      <top style="medium">
        <color indexed="64"/>
      </top>
      <bottom/>
      <diagonal/>
    </border>
    <border>
      <left/>
      <right style="medium">
        <color rgb="FF4C4C4C"/>
      </right>
      <top style="medium">
        <color rgb="FF4C4C4C"/>
      </top>
      <bottom/>
      <diagonal/>
    </border>
    <border>
      <left style="medium">
        <color rgb="FF4C4C4C"/>
      </left>
      <right style="medium">
        <color rgb="FF4C4C4C"/>
      </right>
      <top style="medium">
        <color rgb="FF4C4C4C"/>
      </top>
      <bottom/>
      <diagonal/>
    </border>
    <border>
      <left style="medium">
        <color indexed="64"/>
      </left>
      <right style="medium">
        <color indexed="64"/>
      </right>
      <top/>
      <bottom/>
      <diagonal/>
    </border>
    <border>
      <left style="medium">
        <color rgb="FF4C4C4C"/>
      </left>
      <right style="medium">
        <color rgb="FF4C4C4C"/>
      </right>
      <top/>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rgb="FF4C4C4C"/>
      </left>
      <right/>
      <top style="medium">
        <color rgb="FF4C4C4C"/>
      </top>
      <bottom/>
      <diagonal/>
    </border>
    <border>
      <left style="medium">
        <color rgb="FF4C4C4C"/>
      </left>
      <right/>
      <top style="medium">
        <color rgb="FF4C4C4C"/>
      </top>
      <bottom style="medium">
        <color rgb="FF4C4C4C"/>
      </bottom>
      <diagonal/>
    </border>
    <border>
      <left/>
      <right/>
      <top style="medium">
        <color rgb="FF4C4C4C"/>
      </top>
      <bottom style="medium">
        <color rgb="FF4C4C4C"/>
      </bottom>
      <diagonal/>
    </border>
    <border>
      <left/>
      <right style="medium">
        <color rgb="FF4C4C4C"/>
      </right>
      <top style="medium">
        <color rgb="FF4C4C4C"/>
      </top>
      <bottom style="medium">
        <color rgb="FF4C4C4C"/>
      </bottom>
      <diagonal/>
    </border>
    <border>
      <left style="medium">
        <color rgb="FF4C4C4C"/>
      </left>
      <right/>
      <top/>
      <bottom style="medium">
        <color rgb="FF4C4C4C"/>
      </bottom>
      <diagonal/>
    </border>
    <border>
      <left/>
      <right style="medium">
        <color rgb="FF4C4C4C"/>
      </right>
      <top/>
      <bottom style="medium">
        <color rgb="FF4C4C4C"/>
      </bottom>
      <diagonal/>
    </border>
    <border>
      <left style="medium">
        <color rgb="FF4C4C4C"/>
      </left>
      <right style="medium">
        <color rgb="FF4C4C4C"/>
      </right>
      <top/>
      <bottom style="medium">
        <color rgb="FF4C4C4C"/>
      </bottom>
      <diagonal/>
    </border>
    <border>
      <left/>
      <right style="medium">
        <color rgb="FF00000A"/>
      </right>
      <top/>
      <bottom/>
      <diagonal/>
    </border>
    <border>
      <left/>
      <right style="medium">
        <color rgb="FF00000A"/>
      </right>
      <top style="medium">
        <color rgb="FF00000A"/>
      </top>
      <bottom style="medium">
        <color rgb="FF00000A"/>
      </bottom>
      <diagonal/>
    </border>
    <border>
      <left style="medium">
        <color auto="1"/>
      </left>
      <right style="medium">
        <color auto="1"/>
      </right>
      <top style="medium">
        <color auto="1"/>
      </top>
      <bottom style="medium">
        <color auto="1"/>
      </bottom>
      <diagonal/>
    </border>
    <border>
      <left style="medium">
        <color indexed="64"/>
      </left>
      <right/>
      <top/>
      <bottom/>
      <diagonal/>
    </border>
    <border>
      <left style="medium">
        <color rgb="FF00000A"/>
      </left>
      <right/>
      <top/>
      <bottom/>
      <diagonal/>
    </border>
    <border>
      <left/>
      <right/>
      <top/>
      <bottom style="medium">
        <color indexed="64"/>
      </bottom>
      <diagonal/>
    </border>
    <border>
      <left style="medium">
        <color indexed="64"/>
      </left>
      <right style="medium">
        <color rgb="FF00000A"/>
      </right>
      <top style="medium">
        <color indexed="64"/>
      </top>
      <bottom/>
      <diagonal/>
    </border>
    <border>
      <left style="medium">
        <color rgb="FF00000A"/>
      </left>
      <right style="medium">
        <color rgb="FF00000A"/>
      </right>
      <top style="medium">
        <color indexed="64"/>
      </top>
      <bottom/>
      <diagonal/>
    </border>
    <border>
      <left style="medium">
        <color rgb="FF00000A"/>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A"/>
      </right>
      <top/>
      <bottom/>
      <diagonal/>
    </border>
    <border>
      <left style="medium">
        <color rgb="FF00000A"/>
      </left>
      <right style="medium">
        <color rgb="FF00000A"/>
      </right>
      <top/>
      <bottom/>
      <diagonal/>
    </border>
    <border>
      <left style="medium">
        <color indexed="64"/>
      </left>
      <right style="medium">
        <color rgb="FF00000A"/>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A"/>
      </right>
      <top/>
      <bottom style="medium">
        <color indexed="64"/>
      </bottom>
      <diagonal/>
    </border>
    <border>
      <left style="medium">
        <color rgb="FF00000A"/>
      </left>
      <right style="medium">
        <color rgb="FF00000A"/>
      </right>
      <top/>
      <bottom style="medium">
        <color indexed="64"/>
      </bottom>
      <diagonal/>
    </border>
    <border>
      <left style="medium">
        <color rgb="FF00000A"/>
      </left>
      <right/>
      <top/>
      <bottom style="medium">
        <color indexed="64"/>
      </bottom>
      <diagonal/>
    </border>
    <border>
      <left/>
      <right style="medium">
        <color rgb="FF00000A"/>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bottom/>
      <diagonal/>
    </border>
    <border>
      <left/>
      <right style="medium">
        <color rgb="FF00000A"/>
      </right>
      <top style="medium">
        <color indexed="64"/>
      </top>
      <bottom/>
      <diagonal/>
    </border>
    <border>
      <left/>
      <right style="thin">
        <color auto="1"/>
      </right>
      <top style="thin">
        <color auto="1"/>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thin">
        <color auto="1"/>
      </top>
      <bottom/>
      <diagonal/>
    </border>
    <border>
      <left style="thin">
        <color auto="1"/>
      </left>
      <right style="medium">
        <color indexed="64"/>
      </right>
      <top style="thin">
        <color auto="1"/>
      </top>
      <bottom/>
      <diagonal/>
    </border>
    <border>
      <left style="double">
        <color rgb="FF4C4C4C"/>
      </left>
      <right style="medium">
        <color rgb="FF00000A"/>
      </right>
      <top/>
      <bottom style="medium">
        <color rgb="FF00000A"/>
      </bottom>
      <diagonal/>
    </border>
    <border>
      <left/>
      <right style="medium">
        <color rgb="FF00000A"/>
      </right>
      <top/>
      <bottom style="medium">
        <color rgb="FF00000A"/>
      </bottom>
      <diagonal/>
    </border>
    <border>
      <left/>
      <right style="double">
        <color rgb="FF4C4C4C"/>
      </right>
      <top/>
      <bottom style="medium">
        <color rgb="FF00000A"/>
      </bottom>
      <diagonal/>
    </border>
    <border>
      <left style="medium">
        <color rgb="FF00000A"/>
      </left>
      <right style="medium">
        <color rgb="FF00000A"/>
      </right>
      <top style="medium">
        <color rgb="FF00000A"/>
      </top>
      <bottom/>
      <diagonal/>
    </border>
    <border>
      <left/>
      <right style="medium">
        <color rgb="FF00000A"/>
      </right>
      <top style="medium">
        <color rgb="FF00000A"/>
      </top>
      <bottom/>
      <diagonal/>
    </border>
    <border>
      <left style="medium">
        <color rgb="FF00000A"/>
      </left>
      <right style="medium">
        <color rgb="FF00000A"/>
      </right>
      <top/>
      <bottom style="mediumDashed">
        <color rgb="FF808080"/>
      </bottom>
      <diagonal/>
    </border>
    <border>
      <left/>
      <right style="medium">
        <color rgb="FF00000A"/>
      </right>
      <top/>
      <bottom style="mediumDashed">
        <color rgb="FF808080"/>
      </bottom>
      <diagonal/>
    </border>
    <border>
      <left style="medium">
        <color rgb="FF00000A"/>
      </left>
      <right style="medium">
        <color rgb="FF00000A"/>
      </right>
      <top style="mediumDashed">
        <color rgb="FF808080"/>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indexed="64"/>
      </left>
      <right/>
      <top style="thin">
        <color indexed="64"/>
      </top>
      <bottom/>
      <diagonal/>
    </border>
    <border>
      <left style="thin">
        <color auto="1"/>
      </left>
      <right/>
      <top/>
      <bottom style="thin">
        <color auto="1"/>
      </bottom>
      <diagonal/>
    </border>
    <border>
      <left/>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right style="thin">
        <color auto="1"/>
      </right>
      <top/>
      <bottom style="thin">
        <color auto="1"/>
      </bottom>
      <diagonal/>
    </border>
    <border>
      <left style="medium">
        <color indexed="64"/>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indexed="64"/>
      </top>
      <bottom style="medium">
        <color indexed="64"/>
      </bottom>
      <diagonal/>
    </border>
    <border>
      <left style="medium">
        <color indexed="64"/>
      </left>
      <right style="thin">
        <color indexed="64"/>
      </right>
      <top/>
      <bottom style="medium">
        <color indexed="64"/>
      </bottom>
      <diagonal/>
    </border>
    <border>
      <left/>
      <right style="thin">
        <color auto="1"/>
      </right>
      <top style="thin">
        <color indexed="64"/>
      </top>
      <bottom style="medium">
        <color indexed="64"/>
      </bottom>
      <diagonal/>
    </border>
    <border>
      <left style="thin">
        <color auto="1"/>
      </left>
      <right style="medium">
        <color indexed="64"/>
      </right>
      <top/>
      <bottom style="medium">
        <color indexed="64"/>
      </bottom>
      <diagonal/>
    </border>
    <border>
      <left style="thin">
        <color auto="1"/>
      </left>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style="medium">
        <color indexed="64"/>
      </top>
      <bottom style="thin">
        <color auto="1"/>
      </bottom>
      <diagonal/>
    </border>
    <border>
      <left/>
      <right/>
      <top style="thin">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medium">
        <color indexed="64"/>
      </bottom>
      <diagonal/>
    </border>
    <border>
      <left/>
      <right style="medium">
        <color indexed="64"/>
      </right>
      <top style="thin">
        <color auto="1"/>
      </top>
      <bottom style="thin">
        <color auto="1"/>
      </bottom>
      <diagonal/>
    </border>
    <border>
      <left/>
      <right style="medium">
        <color indexed="64"/>
      </right>
      <top/>
      <bottom style="thin">
        <color auto="1"/>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style="thin">
        <color indexed="64"/>
      </top>
      <bottom style="medium">
        <color indexed="64"/>
      </bottom>
      <diagonal/>
    </border>
    <border>
      <left style="medium">
        <color rgb="FF00000A"/>
      </left>
      <right style="medium">
        <color indexed="64"/>
      </right>
      <top/>
      <bottom/>
      <diagonal/>
    </border>
    <border>
      <left style="medium">
        <color indexed="64"/>
      </left>
      <right style="medium">
        <color rgb="FF00000A"/>
      </right>
      <top/>
      <bottom style="mediumDashed">
        <color rgb="FF808080"/>
      </bottom>
      <diagonal/>
    </border>
    <border>
      <left style="medium">
        <color rgb="FF00000A"/>
      </left>
      <right style="medium">
        <color indexed="64"/>
      </right>
      <top/>
      <bottom style="mediumDashed">
        <color rgb="FF808080"/>
      </bottom>
      <diagonal/>
    </border>
    <border>
      <left style="medium">
        <color indexed="64"/>
      </left>
      <right style="medium">
        <color rgb="FF00000A"/>
      </right>
      <top style="mediumDashed">
        <color rgb="FF808080"/>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style="thin">
        <color auto="1"/>
      </right>
      <top style="medium">
        <color indexed="64"/>
      </top>
      <bottom style="medium">
        <color indexed="64"/>
      </bottom>
      <diagonal/>
    </border>
    <border>
      <left style="thin">
        <color auto="1"/>
      </left>
      <right/>
      <top style="medium">
        <color indexed="64"/>
      </top>
      <bottom style="thin">
        <color auto="1"/>
      </bottom>
      <diagonal/>
    </border>
    <border>
      <left style="medium">
        <color indexed="64"/>
      </left>
      <right/>
      <top style="thin">
        <color auto="1"/>
      </top>
      <bottom/>
      <diagonal/>
    </border>
    <border>
      <left/>
      <right style="double">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double">
        <color indexed="64"/>
      </right>
      <top style="medium">
        <color indexed="64"/>
      </top>
      <bottom/>
      <diagonal/>
    </border>
    <border>
      <left/>
      <right style="double">
        <color indexed="64"/>
      </right>
      <top/>
      <bottom style="medium">
        <color indexed="64"/>
      </bottom>
      <diagonal/>
    </border>
    <border>
      <left style="double">
        <color indexed="64"/>
      </left>
      <right/>
      <top style="medium">
        <color indexed="64"/>
      </top>
      <bottom/>
      <diagonal/>
    </border>
    <border>
      <left style="double">
        <color indexed="64"/>
      </left>
      <right/>
      <top/>
      <bottom/>
      <diagonal/>
    </border>
    <border>
      <left style="double">
        <color indexed="64"/>
      </left>
      <right/>
      <top/>
      <bottom style="medium">
        <color indexed="64"/>
      </bottom>
      <diagonal/>
    </border>
    <border>
      <left style="thin">
        <color auto="1"/>
      </left>
      <right/>
      <top/>
      <bottom/>
      <diagonal/>
    </border>
    <border>
      <left style="medium">
        <color rgb="FF00000A"/>
      </left>
      <right/>
      <top style="medium">
        <color indexed="64"/>
      </top>
      <bottom style="medium">
        <color indexed="64"/>
      </bottom>
      <diagonal/>
    </border>
    <border>
      <left style="thin">
        <color auto="1"/>
      </left>
      <right style="thin">
        <color auto="1"/>
      </right>
      <top/>
      <bottom style="medium">
        <color indexed="64"/>
      </bottom>
      <diagonal/>
    </border>
    <border>
      <left/>
      <right style="thin">
        <color indexed="64"/>
      </right>
      <top/>
      <bottom style="medium">
        <color indexed="64"/>
      </bottom>
      <diagonal/>
    </border>
    <border>
      <left/>
      <right style="thin">
        <color auto="1"/>
      </right>
      <top style="medium">
        <color indexed="64"/>
      </top>
      <bottom/>
      <diagonal/>
    </border>
    <border>
      <left style="medium">
        <color indexed="64"/>
      </left>
      <right style="thin">
        <color auto="1"/>
      </right>
      <top/>
      <bottom/>
      <diagonal/>
    </border>
    <border>
      <left style="thin">
        <color auto="1"/>
      </left>
      <right/>
      <top/>
      <bottom style="medium">
        <color indexed="64"/>
      </bottom>
      <diagonal/>
    </border>
  </borders>
  <cellStyleXfs count="2">
    <xf numFmtId="0" fontId="0" fillId="0" borderId="0"/>
    <xf numFmtId="0" fontId="33" fillId="0" borderId="0" applyNumberFormat="0" applyFill="0" applyBorder="0" applyAlignment="0" applyProtection="0"/>
  </cellStyleXfs>
  <cellXfs count="1053">
    <xf numFmtId="0" fontId="0" fillId="0" borderId="0" xfId="0"/>
    <xf numFmtId="0" fontId="1" fillId="0" borderId="0" xfId="0" applyFont="1"/>
    <xf numFmtId="0" fontId="3" fillId="0" borderId="0" xfId="0" applyFont="1" applyAlignment="1">
      <alignment vertical="center" wrapText="1"/>
    </xf>
    <xf numFmtId="0" fontId="4" fillId="0" borderId="0" xfId="0" applyFont="1" applyAlignment="1">
      <alignment horizontal="center" vertical="center" textRotation="90" wrapText="1"/>
    </xf>
    <xf numFmtId="0" fontId="9" fillId="0" borderId="0" xfId="0" applyFont="1"/>
    <xf numFmtId="0" fontId="3" fillId="0" borderId="0" xfId="0" applyFont="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wrapText="1"/>
    </xf>
    <xf numFmtId="0" fontId="12" fillId="0" borderId="0" xfId="0" applyFont="1" applyAlignment="1">
      <alignment horizontal="center" vertical="center"/>
    </xf>
    <xf numFmtId="0" fontId="3" fillId="0" borderId="0" xfId="0" applyFont="1" applyAlignment="1">
      <alignment horizontal="center" vertical="center" wrapText="1"/>
    </xf>
    <xf numFmtId="0" fontId="12" fillId="0" borderId="11" xfId="0" applyFont="1" applyBorder="1" applyAlignment="1">
      <alignment horizontal="center" vertical="center"/>
    </xf>
    <xf numFmtId="0" fontId="7" fillId="0" borderId="0" xfId="0" applyFont="1" applyAlignment="1">
      <alignment horizontal="right" vertical="center" wrapText="1"/>
    </xf>
    <xf numFmtId="0" fontId="10" fillId="0" borderId="11" xfId="0" applyFont="1" applyBorder="1" applyAlignment="1">
      <alignment horizontal="center" vertical="center" wrapText="1"/>
    </xf>
    <xf numFmtId="0" fontId="2" fillId="0" borderId="0" xfId="0" applyFont="1" applyAlignment="1">
      <alignment horizontal="center" vertical="center"/>
    </xf>
    <xf numFmtId="0" fontId="7" fillId="0" borderId="0" xfId="0" applyFont="1" applyAlignment="1">
      <alignment horizontal="center" vertical="center" wrapText="1"/>
    </xf>
    <xf numFmtId="0" fontId="10" fillId="0" borderId="0" xfId="0" applyFont="1" applyAlignment="1">
      <alignment vertical="center" wrapText="1"/>
    </xf>
    <xf numFmtId="0" fontId="7" fillId="0" borderId="0" xfId="0" applyFont="1" applyAlignment="1">
      <alignment horizontal="center" vertical="center"/>
    </xf>
    <xf numFmtId="0" fontId="13" fillId="0" borderId="0" xfId="0" applyFont="1"/>
    <xf numFmtId="0" fontId="0" fillId="0" borderId="0" xfId="0" applyAlignment="1">
      <alignment horizontal="right" vertical="center"/>
    </xf>
    <xf numFmtId="0" fontId="0" fillId="0" borderId="11" xfId="0" applyBorder="1" applyAlignment="1">
      <alignment horizontal="righ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xf numFmtId="0" fontId="8" fillId="0" borderId="0" xfId="0" applyFont="1" applyAlignment="1">
      <alignment horizontal="center" vertical="center" wrapText="1"/>
    </xf>
    <xf numFmtId="0" fontId="11"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vertical="center"/>
    </xf>
    <xf numFmtId="0" fontId="14" fillId="0" borderId="101" xfId="0" applyFont="1" applyBorder="1" applyAlignment="1">
      <alignment horizontal="center" vertical="center"/>
    </xf>
    <xf numFmtId="0" fontId="2" fillId="0" borderId="0" xfId="0" applyFont="1" applyAlignment="1">
      <alignment vertical="center" wrapText="1"/>
    </xf>
    <xf numFmtId="0" fontId="3" fillId="0" borderId="0" xfId="0" applyFont="1" applyAlignment="1">
      <alignment vertical="center"/>
    </xf>
    <xf numFmtId="0" fontId="8" fillId="0" borderId="0" xfId="0" applyFont="1" applyAlignment="1">
      <alignment vertical="center"/>
    </xf>
    <xf numFmtId="0" fontId="0" fillId="0" borderId="0" xfId="0" applyAlignment="1">
      <alignment horizontal="left"/>
    </xf>
    <xf numFmtId="0" fontId="17" fillId="0" borderId="0" xfId="0" applyFont="1"/>
    <xf numFmtId="0" fontId="1" fillId="0" borderId="1" xfId="0" applyFont="1" applyBorder="1" applyAlignment="1">
      <alignment horizontal="left" vertical="center" wrapText="1"/>
    </xf>
    <xf numFmtId="0" fontId="0" fillId="0" borderId="1" xfId="0" applyBorder="1" applyAlignment="1">
      <alignment vertical="center" wrapText="1"/>
    </xf>
    <xf numFmtId="164" fontId="0" fillId="0" borderId="2" xfId="0" applyNumberFormat="1" applyBorder="1" applyAlignment="1">
      <alignment vertical="center" wrapText="1"/>
    </xf>
    <xf numFmtId="0" fontId="0" fillId="0" borderId="2" xfId="0"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21" xfId="0" applyBorder="1"/>
    <xf numFmtId="0" fontId="20" fillId="0" borderId="18"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7" xfId="0" applyFont="1" applyBorder="1" applyAlignment="1">
      <alignment horizontal="justify" vertical="center" wrapText="1"/>
    </xf>
    <xf numFmtId="0" fontId="1" fillId="0" borderId="18" xfId="0" applyFont="1" applyBorder="1" applyAlignment="1">
      <alignment horizontal="center" vertical="center" wrapText="1"/>
    </xf>
    <xf numFmtId="0" fontId="1" fillId="0" borderId="17" xfId="0" applyFont="1"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justify" vertical="center" wrapText="1"/>
    </xf>
    <xf numFmtId="0" fontId="21" fillId="0" borderId="0" xfId="0" applyFont="1"/>
    <xf numFmtId="0" fontId="19" fillId="0" borderId="93" xfId="0" applyFont="1" applyBorder="1" applyAlignment="1">
      <alignment horizontal="center" vertical="center" wrapText="1"/>
    </xf>
    <xf numFmtId="0" fontId="19" fillId="0" borderId="74"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49" fontId="19" fillId="0" borderId="3" xfId="0" applyNumberFormat="1" applyFont="1" applyBorder="1" applyAlignment="1">
      <alignment horizontal="center" vertical="center" wrapText="1"/>
    </xf>
    <xf numFmtId="0" fontId="0" fillId="0" borderId="71" xfId="0" applyBorder="1" applyAlignment="1">
      <alignment horizontal="center" vertical="center" wrapText="1"/>
    </xf>
    <xf numFmtId="49" fontId="19" fillId="0" borderId="92" xfId="0" applyNumberFormat="1" applyFont="1" applyBorder="1" applyAlignment="1">
      <alignment horizontal="center" vertical="center" wrapText="1"/>
    </xf>
    <xf numFmtId="0" fontId="19" fillId="0" borderId="94" xfId="0" applyFont="1" applyBorder="1" applyAlignment="1">
      <alignment horizontal="center" vertical="center" wrapText="1"/>
    </xf>
    <xf numFmtId="0" fontId="19" fillId="0" borderId="71" xfId="0" applyFont="1" applyBorder="1" applyAlignment="1">
      <alignment horizontal="center" vertical="center" wrapText="1"/>
    </xf>
    <xf numFmtId="0" fontId="19" fillId="0" borderId="91" xfId="0" applyFont="1" applyBorder="1" applyAlignment="1">
      <alignment horizontal="center" vertical="center" wrapText="1"/>
    </xf>
    <xf numFmtId="0" fontId="0" fillId="0" borderId="94" xfId="0" applyBorder="1" applyAlignment="1">
      <alignment horizontal="center" vertical="center" wrapText="1"/>
    </xf>
    <xf numFmtId="0" fontId="0" fillId="0" borderId="2" xfId="0" applyBorder="1" applyAlignment="1">
      <alignment horizontal="center" vertical="center" wrapText="1"/>
    </xf>
    <xf numFmtId="0" fontId="0" fillId="0" borderId="91" xfId="0" applyBorder="1" applyAlignment="1">
      <alignment horizontal="center" vertical="center" wrapText="1"/>
    </xf>
    <xf numFmtId="0" fontId="19" fillId="0" borderId="95" xfId="0" applyFont="1" applyBorder="1" applyAlignment="1">
      <alignment horizontal="center" vertical="center" wrapText="1"/>
    </xf>
    <xf numFmtId="0" fontId="19" fillId="0" borderId="72" xfId="0" applyFont="1" applyBorder="1" applyAlignment="1">
      <alignment horizontal="center" vertical="center" wrapText="1"/>
    </xf>
    <xf numFmtId="0" fontId="19" fillId="0" borderId="86" xfId="0" applyFont="1" applyBorder="1" applyAlignment="1">
      <alignment horizontal="center" vertical="center" wrapText="1"/>
    </xf>
    <xf numFmtId="0" fontId="19" fillId="0" borderId="82" xfId="0" applyFont="1" applyBorder="1" applyAlignment="1">
      <alignment horizontal="center" vertical="center" wrapText="1"/>
    </xf>
    <xf numFmtId="0" fontId="0" fillId="0" borderId="0" xfId="0" applyAlignment="1">
      <alignment horizontal="center" vertical="center" wrapText="1"/>
    </xf>
    <xf numFmtId="0" fontId="1" fillId="0" borderId="21" xfId="0" applyFont="1" applyBorder="1" applyAlignment="1">
      <alignment horizontal="center" vertical="center" wrapText="1"/>
    </xf>
    <xf numFmtId="0" fontId="0" fillId="0" borderId="0" xfId="0" applyAlignment="1">
      <alignment vertical="center" wrapText="1"/>
    </xf>
    <xf numFmtId="0" fontId="1" fillId="0" borderId="24" xfId="0" applyFont="1" applyBorder="1" applyAlignment="1">
      <alignment vertical="center" wrapText="1"/>
    </xf>
    <xf numFmtId="0" fontId="0" fillId="0" borderId="34" xfId="0" applyBorder="1" applyAlignment="1">
      <alignment horizontal="center" vertical="center" wrapText="1"/>
    </xf>
    <xf numFmtId="0" fontId="0" fillId="0" borderId="41" xfId="0" applyBorder="1" applyAlignment="1">
      <alignment horizontal="center" vertical="center" wrapText="1"/>
    </xf>
    <xf numFmtId="0" fontId="19" fillId="0" borderId="54"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4" xfId="0" applyFont="1" applyBorder="1" applyAlignment="1">
      <alignment horizontal="center" vertical="center" textRotation="90" wrapText="1"/>
    </xf>
    <xf numFmtId="0" fontId="19" fillId="0" borderId="104"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55" xfId="0" applyFont="1" applyBorder="1" applyAlignment="1">
      <alignment horizontal="center" vertical="center" wrapText="1"/>
    </xf>
    <xf numFmtId="0" fontId="0" fillId="0" borderId="66" xfId="0" applyBorder="1" applyAlignment="1">
      <alignment horizontal="center" vertical="center" wrapText="1"/>
    </xf>
    <xf numFmtId="0" fontId="0" fillId="0" borderId="55" xfId="0" applyBorder="1" applyAlignment="1">
      <alignment horizontal="center" vertical="center" wrapText="1"/>
    </xf>
    <xf numFmtId="0" fontId="19" fillId="0" borderId="11"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1" xfId="0" applyFont="1" applyBorder="1" applyAlignment="1">
      <alignment horizontal="center" vertical="center" textRotation="90" wrapText="1"/>
    </xf>
    <xf numFmtId="0" fontId="19" fillId="0" borderId="46" xfId="0" applyFont="1" applyBorder="1" applyAlignment="1">
      <alignment horizontal="center" vertical="center" wrapText="1"/>
    </xf>
    <xf numFmtId="0" fontId="19" fillId="0" borderId="67" xfId="0" applyFont="1" applyBorder="1" applyAlignment="1">
      <alignment horizontal="center" vertical="center" wrapText="1"/>
    </xf>
    <xf numFmtId="0" fontId="19" fillId="0" borderId="75" xfId="0" applyFont="1" applyBorder="1" applyAlignment="1">
      <alignment horizontal="center" vertical="center" wrapText="1"/>
    </xf>
    <xf numFmtId="0" fontId="0" fillId="0" borderId="67" xfId="0" applyBorder="1" applyAlignment="1">
      <alignment horizontal="center" vertical="center" wrapText="1"/>
    </xf>
    <xf numFmtId="0" fontId="0" fillId="0" borderId="75" xfId="0" applyBorder="1" applyAlignment="1">
      <alignment horizontal="center" vertical="center" wrapText="1"/>
    </xf>
    <xf numFmtId="0" fontId="19" fillId="0" borderId="46" xfId="0" applyFont="1" applyBorder="1"/>
    <xf numFmtId="0" fontId="19" fillId="0" borderId="45"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5" xfId="0" applyFont="1" applyBorder="1" applyAlignment="1">
      <alignment horizontal="center" vertical="center" textRotation="90" wrapText="1"/>
    </xf>
    <xf numFmtId="0" fontId="19" fillId="0" borderId="68" xfId="0" applyFont="1" applyBorder="1" applyAlignment="1">
      <alignment horizontal="center" vertical="center" wrapText="1"/>
    </xf>
    <xf numFmtId="0" fontId="19" fillId="0" borderId="76" xfId="0" applyFont="1" applyBorder="1" applyAlignment="1">
      <alignment horizontal="center" vertical="center" wrapText="1"/>
    </xf>
    <xf numFmtId="0" fontId="19" fillId="0" borderId="57"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77" xfId="0" applyFont="1" applyBorder="1" applyAlignment="1">
      <alignment horizontal="center" vertical="center" wrapText="1"/>
    </xf>
    <xf numFmtId="0" fontId="19" fillId="0" borderId="44" xfId="0" applyFont="1"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1" fillId="0" borderId="42" xfId="0" applyFont="1" applyBorder="1" applyAlignment="1">
      <alignment vertical="center" wrapText="1"/>
    </xf>
    <xf numFmtId="0" fontId="1" fillId="0" borderId="0" xfId="0" applyFont="1" applyAlignment="1">
      <alignment horizontal="center" vertical="center" textRotation="90" wrapText="1"/>
    </xf>
    <xf numFmtId="0" fontId="19" fillId="0" borderId="8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53" xfId="0" applyFont="1" applyBorder="1" applyAlignment="1">
      <alignment horizontal="center" vertical="center" wrapText="1"/>
    </xf>
    <xf numFmtId="0" fontId="0" fillId="0" borderId="0" xfId="0" applyAlignment="1">
      <alignment horizontal="center"/>
    </xf>
    <xf numFmtId="0" fontId="0" fillId="0" borderId="11" xfId="0" applyBorder="1"/>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43" xfId="0" applyBorder="1"/>
    <xf numFmtId="0" fontId="20" fillId="0" borderId="20" xfId="0" applyFont="1" applyBorder="1" applyAlignment="1">
      <alignment horizontal="center" vertical="center" wrapText="1"/>
    </xf>
    <xf numFmtId="0" fontId="19" fillId="0" borderId="0" xfId="0" applyFont="1" applyAlignment="1">
      <alignment horizontal="right" vertical="center" wrapText="1"/>
    </xf>
    <xf numFmtId="0" fontId="19" fillId="0" borderId="0" xfId="0" applyFont="1" applyAlignment="1">
      <alignment horizontal="justify" vertical="center"/>
    </xf>
    <xf numFmtId="0" fontId="0" fillId="0" borderId="0" xfId="0" applyAlignment="1">
      <alignment horizontal="left" vertical="center" wrapText="1"/>
    </xf>
    <xf numFmtId="0" fontId="0" fillId="0" borderId="11" xfId="0" applyBorder="1" applyAlignment="1">
      <alignment horizontal="left" vertical="center" wrapText="1"/>
    </xf>
    <xf numFmtId="0" fontId="19" fillId="0" borderId="11" xfId="0" applyFont="1" applyBorder="1" applyAlignment="1">
      <alignment horizontal="justify" vertical="center" wrapText="1"/>
    </xf>
    <xf numFmtId="0" fontId="0" fillId="0" borderId="11" xfId="0" applyBorder="1" applyAlignment="1">
      <alignment horizontal="center" vertical="center" wrapText="1"/>
    </xf>
    <xf numFmtId="0" fontId="20" fillId="0" borderId="0" xfId="0" applyFont="1" applyAlignment="1">
      <alignment horizontal="center" vertical="center"/>
    </xf>
    <xf numFmtId="0" fontId="0" fillId="0" borderId="72" xfId="0" applyBorder="1" applyAlignment="1">
      <alignment horizontal="center" vertical="center" wrapText="1"/>
    </xf>
    <xf numFmtId="0" fontId="19" fillId="0" borderId="7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4" xfId="0" applyFont="1" applyBorder="1" applyAlignment="1">
      <alignment horizontal="center" vertical="center" wrapText="1"/>
    </xf>
    <xf numFmtId="0" fontId="0" fillId="0" borderId="56" xfId="0" applyBorder="1" applyAlignment="1">
      <alignment horizontal="center" vertical="center" wrapText="1"/>
    </xf>
    <xf numFmtId="0" fontId="0" fillId="0" borderId="0" xfId="0" applyAlignment="1">
      <alignment horizontal="right" vertical="center" wrapText="1"/>
    </xf>
    <xf numFmtId="0" fontId="0" fillId="0" borderId="56" xfId="0" applyBorder="1"/>
    <xf numFmtId="0" fontId="0" fillId="0" borderId="76" xfId="0" applyBorder="1"/>
    <xf numFmtId="0" fontId="0" fillId="0" borderId="72" xfId="0" applyBorder="1"/>
    <xf numFmtId="0" fontId="1" fillId="0" borderId="0" xfId="0" applyFont="1" applyAlignment="1">
      <alignment wrapText="1"/>
    </xf>
    <xf numFmtId="0" fontId="0" fillId="0" borderId="11" xfId="0" applyBorder="1" applyAlignment="1">
      <alignment horizontal="center"/>
    </xf>
    <xf numFmtId="0" fontId="20" fillId="0" borderId="0" xfId="0" applyFont="1" applyAlignment="1">
      <alignment horizontal="right" vertical="center" wrapText="1"/>
    </xf>
    <xf numFmtId="0" fontId="20" fillId="0" borderId="11" xfId="0" applyFont="1" applyBorder="1" applyAlignment="1">
      <alignment horizontal="center" vertical="center" wrapText="1"/>
    </xf>
    <xf numFmtId="0" fontId="20"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horizontal="right" vertical="center"/>
    </xf>
    <xf numFmtId="0" fontId="1" fillId="0" borderId="0" xfId="0" applyFont="1" applyAlignment="1">
      <alignment horizontal="left" vertical="center" wrapText="1"/>
    </xf>
    <xf numFmtId="0" fontId="1" fillId="0" borderId="0" xfId="0" applyFont="1" applyAlignment="1">
      <alignment vertical="center"/>
    </xf>
    <xf numFmtId="0" fontId="0" fillId="0" borderId="74" xfId="0" applyBorder="1" applyAlignment="1">
      <alignment horizontal="center" vertical="center" wrapText="1"/>
    </xf>
    <xf numFmtId="0" fontId="19" fillId="0" borderId="56" xfId="0" applyFont="1" applyBorder="1" applyAlignment="1">
      <alignment horizontal="center" vertical="center" wrapText="1"/>
    </xf>
    <xf numFmtId="0" fontId="19" fillId="0" borderId="79" xfId="0" applyFont="1" applyBorder="1" applyAlignment="1">
      <alignment horizontal="center" vertical="center" wrapText="1"/>
    </xf>
    <xf numFmtId="0" fontId="19" fillId="0" borderId="50" xfId="0" applyFont="1" applyBorder="1" applyAlignment="1">
      <alignment horizontal="center" vertical="center"/>
    </xf>
    <xf numFmtId="0" fontId="19" fillId="0" borderId="34" xfId="0" applyFont="1" applyBorder="1" applyAlignment="1">
      <alignment horizontal="center" vertical="center"/>
    </xf>
    <xf numFmtId="0" fontId="19" fillId="0" borderId="82" xfId="0" applyFont="1" applyBorder="1" applyAlignment="1">
      <alignment horizontal="center" vertical="center"/>
    </xf>
    <xf numFmtId="0" fontId="19" fillId="0" borderId="72" xfId="0" applyFont="1" applyBorder="1" applyAlignment="1">
      <alignment horizontal="center" vertical="center"/>
    </xf>
    <xf numFmtId="0" fontId="0" fillId="0" borderId="11" xfId="0" applyBorder="1" applyAlignment="1">
      <alignment horizontal="left" vertical="center"/>
    </xf>
    <xf numFmtId="0" fontId="0" fillId="0" borderId="86" xfId="0" applyBorder="1"/>
    <xf numFmtId="0" fontId="19" fillId="0" borderId="0" xfId="0" applyFont="1" applyAlignment="1">
      <alignment horizontal="justify" vertical="center" wrapText="1"/>
    </xf>
    <xf numFmtId="0" fontId="20" fillId="0" borderId="0" xfId="0" applyFont="1" applyAlignment="1">
      <alignment horizontal="justify" vertical="center" wrapText="1"/>
    </xf>
    <xf numFmtId="0" fontId="19" fillId="0" borderId="70" xfId="0" applyFont="1" applyBorder="1" applyAlignment="1">
      <alignment horizontal="center" vertical="center" wrapText="1"/>
    </xf>
    <xf numFmtId="0" fontId="19" fillId="0" borderId="34" xfId="0" applyFont="1" applyBorder="1" applyAlignment="1">
      <alignment horizontal="center" vertical="center" wrapText="1"/>
    </xf>
    <xf numFmtId="0" fontId="0" fillId="0" borderId="3" xfId="0" applyBorder="1"/>
    <xf numFmtId="0" fontId="0" fillId="0" borderId="34" xfId="0" applyBorder="1"/>
    <xf numFmtId="0" fontId="0" fillId="0" borderId="92" xfId="0" applyBorder="1"/>
    <xf numFmtId="0" fontId="0" fillId="0" borderId="2" xfId="0" applyBorder="1"/>
    <xf numFmtId="0" fontId="0" fillId="0" borderId="71" xfId="0" applyBorder="1"/>
    <xf numFmtId="0" fontId="0" fillId="0" borderId="91" xfId="0" applyBorder="1"/>
    <xf numFmtId="0" fontId="0" fillId="0" borderId="82" xfId="0" applyBorder="1"/>
    <xf numFmtId="49" fontId="0" fillId="0" borderId="55" xfId="0" applyNumberFormat="1" applyBorder="1" applyAlignment="1">
      <alignment vertical="center" wrapText="1"/>
    </xf>
    <xf numFmtId="49" fontId="0" fillId="0" borderId="44" xfId="0" applyNumberFormat="1" applyBorder="1" applyAlignment="1">
      <alignment vertical="center" wrapText="1"/>
    </xf>
    <xf numFmtId="49" fontId="0" fillId="0" borderId="66" xfId="0" applyNumberFormat="1" applyBorder="1" applyAlignment="1">
      <alignment horizontal="center" vertical="center" wrapText="1"/>
    </xf>
    <xf numFmtId="49" fontId="0" fillId="0" borderId="54" xfId="0" applyNumberFormat="1" applyBorder="1" applyAlignment="1">
      <alignment horizontal="center" vertical="center" wrapText="1"/>
    </xf>
    <xf numFmtId="49" fontId="0" fillId="0" borderId="43" xfId="0" applyNumberFormat="1" applyBorder="1" applyAlignment="1">
      <alignment horizontal="center" vertical="center" wrapText="1"/>
    </xf>
    <xf numFmtId="49" fontId="0" fillId="0" borderId="77" xfId="0" applyNumberFormat="1" applyBorder="1" applyAlignment="1">
      <alignment horizontal="center" vertical="center" wrapText="1"/>
    </xf>
    <xf numFmtId="49" fontId="19" fillId="0" borderId="66" xfId="0" applyNumberFormat="1" applyFont="1" applyBorder="1" applyAlignment="1">
      <alignment vertical="center" wrapText="1"/>
    </xf>
    <xf numFmtId="49" fontId="19" fillId="0" borderId="54" xfId="0" applyNumberFormat="1" applyFont="1" applyBorder="1" applyAlignment="1">
      <alignment vertical="center" wrapText="1"/>
    </xf>
    <xf numFmtId="49" fontId="19" fillId="0" borderId="55" xfId="0" applyNumberFormat="1" applyFont="1" applyBorder="1" applyAlignment="1">
      <alignment vertical="center" wrapText="1"/>
    </xf>
    <xf numFmtId="49" fontId="19" fillId="0" borderId="43" xfId="0" applyNumberFormat="1" applyFont="1" applyBorder="1" applyAlignment="1">
      <alignment vertical="center" wrapText="1"/>
    </xf>
    <xf numFmtId="49" fontId="19" fillId="0" borderId="77" xfId="0" applyNumberFormat="1" applyFont="1" applyBorder="1" applyAlignment="1">
      <alignment vertical="center" wrapText="1"/>
    </xf>
    <xf numFmtId="49" fontId="19" fillId="0" borderId="44" xfId="0" applyNumberFormat="1" applyFont="1" applyBorder="1" applyAlignment="1">
      <alignment vertical="center" wrapText="1"/>
    </xf>
    <xf numFmtId="49" fontId="19" fillId="0" borderId="76" xfId="0" applyNumberFormat="1" applyFont="1" applyBorder="1" applyAlignment="1">
      <alignment vertical="center" wrapText="1"/>
    </xf>
    <xf numFmtId="49" fontId="19" fillId="0" borderId="45" xfId="0" applyNumberFormat="1" applyFont="1" applyBorder="1" applyAlignment="1">
      <alignment vertical="center" wrapText="1"/>
    </xf>
    <xf numFmtId="49" fontId="19" fillId="0" borderId="57" xfId="0" applyNumberFormat="1" applyFont="1" applyBorder="1" applyAlignment="1">
      <alignment vertical="center" wrapText="1"/>
    </xf>
    <xf numFmtId="49" fontId="0" fillId="0" borderId="58" xfId="0" applyNumberFormat="1" applyBorder="1" applyAlignment="1">
      <alignment horizontal="justify" vertical="center" wrapText="1"/>
    </xf>
    <xf numFmtId="49" fontId="0" fillId="0" borderId="59" xfId="0" applyNumberFormat="1" applyBorder="1" applyAlignment="1">
      <alignment horizontal="justify" vertical="center" wrapText="1"/>
    </xf>
    <xf numFmtId="49" fontId="0" fillId="0" borderId="60" xfId="0" applyNumberFormat="1" applyBorder="1" applyAlignment="1">
      <alignment horizontal="justify" vertical="center" wrapText="1"/>
    </xf>
    <xf numFmtId="49" fontId="19" fillId="0" borderId="58" xfId="0" applyNumberFormat="1" applyFont="1" applyBorder="1" applyAlignment="1">
      <alignment horizontal="justify" vertical="center" wrapText="1"/>
    </xf>
    <xf numFmtId="49" fontId="19" fillId="0" borderId="59" xfId="0" applyNumberFormat="1" applyFont="1" applyBorder="1" applyAlignment="1">
      <alignment horizontal="justify" vertical="center" wrapText="1"/>
    </xf>
    <xf numFmtId="49" fontId="19" fillId="0" borderId="60" xfId="0" applyNumberFormat="1" applyFont="1" applyBorder="1" applyAlignment="1">
      <alignment horizontal="justify" vertical="center" wrapText="1"/>
    </xf>
    <xf numFmtId="49" fontId="0" fillId="0" borderId="83" xfId="0" applyNumberFormat="1" applyBorder="1" applyAlignment="1">
      <alignment horizontal="justify" vertical="center" wrapText="1"/>
    </xf>
    <xf numFmtId="49" fontId="0" fillId="0" borderId="10" xfId="0" applyNumberFormat="1" applyBorder="1" applyAlignment="1">
      <alignment horizontal="justify" vertical="center" wrapText="1"/>
    </xf>
    <xf numFmtId="49" fontId="0" fillId="0" borderId="84" xfId="0" applyNumberFormat="1" applyBorder="1" applyAlignment="1">
      <alignment horizontal="justify" vertical="center" wrapText="1"/>
    </xf>
    <xf numFmtId="49" fontId="0" fillId="0" borderId="67" xfId="0" applyNumberFormat="1" applyBorder="1" applyAlignment="1">
      <alignment horizontal="justify" vertical="center" wrapText="1"/>
    </xf>
    <xf numFmtId="49" fontId="0" fillId="0" borderId="11" xfId="0" applyNumberFormat="1" applyBorder="1" applyAlignment="1">
      <alignment horizontal="justify" vertical="center" wrapText="1"/>
    </xf>
    <xf numFmtId="49" fontId="0" fillId="0" borderId="75" xfId="0" applyNumberFormat="1" applyBorder="1" applyAlignment="1">
      <alignment horizontal="justify" vertical="center" wrapText="1"/>
    </xf>
    <xf numFmtId="49" fontId="19" fillId="0" borderId="43" xfId="0" applyNumberFormat="1" applyFont="1" applyBorder="1" applyAlignment="1">
      <alignment horizontal="justify" vertical="center" wrapText="1"/>
    </xf>
    <xf numFmtId="49" fontId="19" fillId="0" borderId="77" xfId="0" applyNumberFormat="1" applyFont="1" applyBorder="1" applyAlignment="1">
      <alignment horizontal="justify" vertical="center" wrapText="1"/>
    </xf>
    <xf numFmtId="49" fontId="19" fillId="0" borderId="44" xfId="0" applyNumberFormat="1" applyFont="1" applyBorder="1" applyAlignment="1">
      <alignment horizontal="justify" vertical="center" wrapText="1"/>
    </xf>
    <xf numFmtId="0" fontId="0" fillId="0" borderId="21" xfId="0" applyBorder="1" applyAlignment="1">
      <alignment horizontal="left" vertical="center"/>
    </xf>
    <xf numFmtId="0" fontId="0" fillId="0" borderId="21" xfId="0" applyBorder="1" applyAlignment="1">
      <alignment horizontal="center"/>
    </xf>
    <xf numFmtId="0" fontId="20" fillId="0" borderId="21" xfId="0" applyFont="1" applyBorder="1" applyAlignment="1">
      <alignment horizontal="center" vertical="center" wrapText="1"/>
    </xf>
    <xf numFmtId="0" fontId="0" fillId="0" borderId="21" xfId="0" applyBorder="1" applyAlignment="1">
      <alignment horizontal="left" vertical="center" wrapText="1"/>
    </xf>
    <xf numFmtId="0" fontId="1" fillId="0" borderId="101" xfId="0" applyFont="1" applyBorder="1" applyAlignment="1">
      <alignment horizontal="center" vertical="center" wrapText="1"/>
    </xf>
    <xf numFmtId="0" fontId="1" fillId="0" borderId="21" xfId="0" applyFont="1" applyBorder="1"/>
    <xf numFmtId="0" fontId="20" fillId="0" borderId="0" xfId="0" applyFont="1"/>
    <xf numFmtId="0" fontId="0" fillId="0" borderId="21" xfId="0" applyBorder="1" applyAlignment="1">
      <alignment horizontal="center" vertical="center" wrapText="1"/>
    </xf>
    <xf numFmtId="0" fontId="0" fillId="0" borderId="9" xfId="0" applyBorder="1" applyAlignment="1">
      <alignment horizontal="center" vertical="center" wrapText="1"/>
    </xf>
    <xf numFmtId="0" fontId="1" fillId="0" borderId="41" xfId="0" applyFont="1" applyBorder="1" applyAlignment="1">
      <alignment horizontal="center" vertical="center" wrapText="1"/>
    </xf>
    <xf numFmtId="0" fontId="0" fillId="0" borderId="9" xfId="0" applyBorder="1" applyAlignment="1">
      <alignment vertical="center" wrapText="1"/>
    </xf>
    <xf numFmtId="0" fontId="1" fillId="0" borderId="41" xfId="0" applyFont="1" applyBorder="1" applyAlignment="1">
      <alignment vertical="center" wrapText="1"/>
    </xf>
    <xf numFmtId="0" fontId="0" fillId="0" borderId="51" xfId="0" applyBorder="1" applyAlignment="1">
      <alignment horizontal="center" vertical="center" wrapText="1"/>
    </xf>
    <xf numFmtId="0" fontId="0" fillId="0" borderId="41" xfId="0" applyBorder="1" applyAlignment="1">
      <alignment vertical="center" wrapText="1"/>
    </xf>
    <xf numFmtId="0" fontId="9" fillId="0" borderId="9" xfId="0" applyFont="1" applyBorder="1" applyAlignment="1">
      <alignment horizontal="center" vertical="center" wrapText="1"/>
    </xf>
    <xf numFmtId="0" fontId="9" fillId="0" borderId="41" xfId="0" applyFont="1" applyBorder="1" applyAlignment="1">
      <alignment horizontal="center" vertical="center" wrapText="1"/>
    </xf>
    <xf numFmtId="0" fontId="25" fillId="0" borderId="41" xfId="0" applyFont="1" applyBorder="1" applyAlignment="1">
      <alignment horizontal="center" vertical="center" wrapText="1"/>
    </xf>
    <xf numFmtId="0" fontId="1" fillId="0" borderId="9" xfId="0" applyFont="1" applyBorder="1" applyAlignment="1">
      <alignment horizontal="center" vertical="center" wrapText="1"/>
    </xf>
    <xf numFmtId="0" fontId="0" fillId="0" borderId="24" xfId="0" applyBorder="1" applyAlignment="1">
      <alignment vertical="center" wrapText="1"/>
    </xf>
    <xf numFmtId="0" fontId="1" fillId="0" borderId="43" xfId="0" applyFont="1" applyBorder="1" applyAlignment="1">
      <alignment horizontal="center" vertical="center" wrapText="1"/>
    </xf>
    <xf numFmtId="0" fontId="1" fillId="0" borderId="77" xfId="0" applyFont="1" applyBorder="1" applyAlignment="1">
      <alignment horizontal="center" vertical="center" wrapText="1"/>
    </xf>
    <xf numFmtId="0" fontId="1" fillId="0" borderId="44" xfId="0" applyFont="1" applyBorder="1" applyAlignment="1">
      <alignment horizontal="center" vertical="center" wrapText="1"/>
    </xf>
    <xf numFmtId="0" fontId="0" fillId="0" borderId="50" xfId="0" applyBorder="1" applyAlignment="1">
      <alignment horizontal="center" vertical="center" wrapText="1"/>
    </xf>
    <xf numFmtId="0" fontId="19" fillId="0" borderId="92" xfId="0" applyFont="1" applyBorder="1" applyAlignment="1">
      <alignment horizontal="center" vertical="center" wrapText="1"/>
    </xf>
    <xf numFmtId="0" fontId="19" fillId="0" borderId="50" xfId="0" applyFont="1" applyBorder="1" applyAlignment="1">
      <alignment horizontal="center" vertical="center" wrapText="1"/>
    </xf>
    <xf numFmtId="0" fontId="19" fillId="0" borderId="83" xfId="0" applyFont="1" applyBorder="1" applyAlignment="1">
      <alignment horizontal="center" vertical="center" wrapText="1"/>
    </xf>
    <xf numFmtId="0" fontId="0" fillId="0" borderId="82" xfId="0" applyBorder="1" applyAlignment="1">
      <alignment horizontal="center" vertical="center" wrapText="1"/>
    </xf>
    <xf numFmtId="0" fontId="20" fillId="0" borderId="28" xfId="0" applyFont="1" applyBorder="1" applyAlignment="1">
      <alignment horizontal="center" vertical="center" wrapText="1"/>
    </xf>
    <xf numFmtId="0" fontId="0" fillId="0" borderId="68" xfId="0" applyBorder="1"/>
    <xf numFmtId="0" fontId="0" fillId="0" borderId="57" xfId="0" applyBorder="1"/>
    <xf numFmtId="0" fontId="19" fillId="0" borderId="49" xfId="0" applyFont="1" applyBorder="1" applyAlignment="1">
      <alignment horizontal="center" vertical="center" wrapText="1"/>
    </xf>
    <xf numFmtId="0" fontId="0" fillId="0" borderId="105" xfId="0" applyBorder="1"/>
    <xf numFmtId="0" fontId="19" fillId="0" borderId="0" xfId="0" applyFont="1" applyAlignment="1">
      <alignment horizontal="left" vertical="center" wrapText="1"/>
    </xf>
    <xf numFmtId="0" fontId="10" fillId="0" borderId="0" xfId="0" applyFont="1" applyAlignment="1">
      <alignment horizontal="justify" vertical="center"/>
    </xf>
    <xf numFmtId="0" fontId="7" fillId="0" borderId="40" xfId="0" applyFont="1" applyBorder="1" applyAlignment="1">
      <alignment horizontal="center" vertical="center" wrapText="1"/>
    </xf>
    <xf numFmtId="0" fontId="10" fillId="0" borderId="40" xfId="0" applyFont="1" applyBorder="1" applyAlignment="1">
      <alignment horizontal="center" vertical="center" wrapText="1"/>
    </xf>
    <xf numFmtId="0" fontId="27" fillId="0" borderId="40" xfId="0" applyFont="1" applyBorder="1" applyAlignment="1">
      <alignment horizontal="center" vertical="center" wrapText="1"/>
    </xf>
    <xf numFmtId="0" fontId="10" fillId="0" borderId="0" xfId="0" applyFont="1" applyAlignment="1">
      <alignment vertical="center"/>
    </xf>
    <xf numFmtId="0" fontId="7" fillId="0" borderId="24" xfId="0" applyFont="1" applyBorder="1" applyAlignment="1">
      <alignment horizontal="center" vertical="center" wrapText="1"/>
    </xf>
    <xf numFmtId="0" fontId="10" fillId="0" borderId="24"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0" xfId="0" applyFont="1" applyAlignment="1">
      <alignment horizontal="center" vertical="center" wrapText="1"/>
    </xf>
    <xf numFmtId="0" fontId="7" fillId="0" borderId="41"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41"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41" xfId="0" applyFont="1" applyBorder="1" applyAlignment="1">
      <alignment horizontal="center" vertical="center" wrapText="1"/>
    </xf>
    <xf numFmtId="0" fontId="28" fillId="0" borderId="0" xfId="0" applyFont="1"/>
    <xf numFmtId="0" fontId="28" fillId="0" borderId="0" xfId="0" applyFont="1" applyAlignment="1">
      <alignment horizontal="left"/>
    </xf>
    <xf numFmtId="0" fontId="28" fillId="0" borderId="11" xfId="0" applyFont="1" applyBorder="1"/>
    <xf numFmtId="0" fontId="22" fillId="0" borderId="0" xfId="0" applyFont="1"/>
    <xf numFmtId="0" fontId="10" fillId="0" borderId="21" xfId="0" applyFont="1" applyBorder="1" applyAlignment="1">
      <alignment horizontal="center" vertical="center" wrapText="1"/>
    </xf>
    <xf numFmtId="0" fontId="22" fillId="0" borderId="0" xfId="0" applyFont="1" applyAlignment="1">
      <alignment horizontal="left" vertical="center" wrapText="1"/>
    </xf>
    <xf numFmtId="0" fontId="2" fillId="0" borderId="2" xfId="0" applyFont="1" applyBorder="1" applyAlignment="1">
      <alignment vertical="center" wrapText="1"/>
    </xf>
    <xf numFmtId="0" fontId="1" fillId="0" borderId="0" xfId="0" applyFont="1" applyAlignment="1">
      <alignment horizontal="center"/>
    </xf>
    <xf numFmtId="0" fontId="1" fillId="0" borderId="2" xfId="0" applyFont="1" applyBorder="1" applyAlignment="1">
      <alignment horizontal="left" vertical="center" wrapText="1"/>
    </xf>
    <xf numFmtId="0" fontId="1" fillId="0" borderId="2" xfId="0" applyFont="1" applyBorder="1" applyAlignment="1">
      <alignment horizontal="left" vertical="center" wrapText="1" indent="1"/>
    </xf>
    <xf numFmtId="0" fontId="1" fillId="4" borderId="0" xfId="0" applyFont="1" applyFill="1" applyAlignment="1">
      <alignment horizontal="left" vertical="center" wrapText="1"/>
    </xf>
    <xf numFmtId="164" fontId="0" fillId="0" borderId="0" xfId="0" applyNumberFormat="1" applyAlignment="1">
      <alignment vertical="center" wrapText="1"/>
    </xf>
    <xf numFmtId="0" fontId="1" fillId="2" borderId="0" xfId="0" applyFont="1" applyFill="1" applyAlignment="1">
      <alignment vertical="center" wrapText="1"/>
    </xf>
    <xf numFmtId="0" fontId="0" fillId="3" borderId="0" xfId="0" applyFill="1" applyAlignment="1">
      <alignment vertical="center" wrapText="1"/>
    </xf>
    <xf numFmtId="0" fontId="1" fillId="0" borderId="0" xfId="0" applyFont="1" applyAlignment="1">
      <alignment horizontal="left" vertical="center" wrapText="1" inden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left"/>
    </xf>
    <xf numFmtId="2" fontId="0" fillId="0" borderId="88" xfId="0" applyNumberFormat="1" applyBorder="1" applyAlignment="1">
      <alignment horizontal="right" vertical="center"/>
    </xf>
    <xf numFmtId="2" fontId="0" fillId="0" borderId="88" xfId="0" applyNumberFormat="1" applyBorder="1" applyAlignment="1">
      <alignment horizontal="left" vertical="center"/>
    </xf>
    <xf numFmtId="2" fontId="12" fillId="0" borderId="88" xfId="0" applyNumberFormat="1" applyFont="1" applyBorder="1" applyAlignment="1">
      <alignment horizontal="center" vertical="center"/>
    </xf>
    <xf numFmtId="2" fontId="0" fillId="0" borderId="88" xfId="0" applyNumberFormat="1" applyBorder="1" applyAlignment="1">
      <alignment horizontal="center" vertical="center" wrapText="1"/>
    </xf>
    <xf numFmtId="2" fontId="0" fillId="0" borderId="88" xfId="0" applyNumberFormat="1" applyBorder="1"/>
    <xf numFmtId="2" fontId="0" fillId="0" borderId="89" xfId="0" applyNumberFormat="1" applyBorder="1" applyAlignment="1">
      <alignment horizontal="center" vertical="center" wrapText="1"/>
    </xf>
    <xf numFmtId="0" fontId="0" fillId="0" borderId="24" xfId="0" applyBorder="1" applyAlignment="1">
      <alignment horizontal="left" vertical="center" wrapText="1"/>
    </xf>
    <xf numFmtId="0" fontId="33" fillId="0" borderId="0" xfId="1" applyAlignment="1">
      <alignment horizontal="center"/>
    </xf>
    <xf numFmtId="165" fontId="3" fillId="0" borderId="0" xfId="0" applyNumberFormat="1" applyFont="1" applyAlignment="1">
      <alignment vertical="center"/>
    </xf>
    <xf numFmtId="0" fontId="19" fillId="5" borderId="93" xfId="0" applyFont="1" applyFill="1" applyBorder="1" applyAlignment="1">
      <alignment horizontal="center" vertical="center" wrapText="1"/>
    </xf>
    <xf numFmtId="15" fontId="34" fillId="0" borderId="11" xfId="0" applyNumberFormat="1" applyFont="1" applyBorder="1" applyAlignment="1">
      <alignment horizontal="center"/>
    </xf>
    <xf numFmtId="3" fontId="34" fillId="0" borderId="46" xfId="0" applyNumberFormat="1" applyFont="1" applyBorder="1" applyAlignment="1">
      <alignment horizontal="center" vertical="center"/>
    </xf>
    <xf numFmtId="0" fontId="34" fillId="0" borderId="11" xfId="0" applyFont="1" applyBorder="1" applyAlignment="1">
      <alignment horizontal="center"/>
    </xf>
    <xf numFmtId="0" fontId="26" fillId="0" borderId="0" xfId="0" applyFont="1"/>
    <xf numFmtId="0" fontId="26" fillId="0" borderId="0" xfId="0" applyFont="1" applyAlignment="1">
      <alignment horizontal="center"/>
    </xf>
    <xf numFmtId="0" fontId="18" fillId="0" borderId="0" xfId="0" applyFont="1"/>
    <xf numFmtId="4" fontId="26" fillId="0" borderId="11" xfId="0" applyNumberFormat="1" applyFont="1" applyBorder="1" applyAlignment="1">
      <alignment horizontal="center" vertical="center"/>
    </xf>
    <xf numFmtId="0" fontId="22" fillId="6" borderId="46" xfId="0" applyFont="1" applyFill="1" applyBorder="1" applyAlignment="1">
      <alignment horizontal="center" vertical="center" wrapText="1"/>
    </xf>
    <xf numFmtId="0" fontId="22" fillId="6" borderId="69" xfId="0" applyFont="1" applyFill="1" applyBorder="1" applyAlignment="1">
      <alignment horizontal="center" vertical="center"/>
    </xf>
    <xf numFmtId="0" fontId="18" fillId="3" borderId="47" xfId="0" applyFont="1" applyFill="1" applyBorder="1" applyAlignment="1">
      <alignment horizontal="center" vertical="center"/>
    </xf>
    <xf numFmtId="0" fontId="39" fillId="0" borderId="10" xfId="0" applyFont="1" applyBorder="1"/>
    <xf numFmtId="0" fontId="39" fillId="0" borderId="11" xfId="0" applyFont="1" applyBorder="1"/>
    <xf numFmtId="0" fontId="39" fillId="0" borderId="11" xfId="0" applyFont="1" applyBorder="1" applyAlignment="1">
      <alignment horizontal="left"/>
    </xf>
    <xf numFmtId="0" fontId="39" fillId="0" borderId="45" xfId="0" applyFont="1" applyBorder="1"/>
    <xf numFmtId="0" fontId="39" fillId="0" borderId="45" xfId="0" applyFont="1" applyBorder="1" applyAlignment="1">
      <alignment horizontal="left"/>
    </xf>
    <xf numFmtId="0" fontId="39" fillId="0" borderId="0" xfId="0" applyFont="1"/>
    <xf numFmtId="0" fontId="39" fillId="0" borderId="54" xfId="0" applyFont="1" applyBorder="1"/>
    <xf numFmtId="0" fontId="39" fillId="0" borderId="54" xfId="0" applyFont="1" applyBorder="1" applyAlignment="1">
      <alignment horizontal="left"/>
    </xf>
    <xf numFmtId="0" fontId="39" fillId="0" borderId="55" xfId="0" applyFont="1" applyBorder="1" applyAlignment="1">
      <alignment horizontal="left"/>
    </xf>
    <xf numFmtId="0" fontId="39" fillId="0" borderId="75" xfId="0" applyFont="1" applyBorder="1" applyAlignment="1">
      <alignment horizontal="left"/>
    </xf>
    <xf numFmtId="0" fontId="39" fillId="0" borderId="57" xfId="0" applyFont="1" applyBorder="1" applyAlignment="1">
      <alignment horizontal="left"/>
    </xf>
    <xf numFmtId="0" fontId="39" fillId="0" borderId="77" xfId="0" applyFont="1" applyBorder="1"/>
    <xf numFmtId="0" fontId="39" fillId="0" borderId="77" xfId="0" applyFont="1" applyBorder="1" applyAlignment="1">
      <alignment horizontal="left"/>
    </xf>
    <xf numFmtId="0" fontId="39" fillId="0" borderId="44" xfId="0" applyFont="1" applyBorder="1" applyAlignment="1">
      <alignment horizontal="left"/>
    </xf>
    <xf numFmtId="2" fontId="0" fillId="0" borderId="2" xfId="0" applyNumberFormat="1" applyBorder="1"/>
    <xf numFmtId="2" fontId="0" fillId="0" borderId="71" xfId="0" applyNumberFormat="1" applyBorder="1"/>
    <xf numFmtId="2" fontId="0" fillId="0" borderId="29" xfId="0" applyNumberFormat="1" applyBorder="1"/>
    <xf numFmtId="2" fontId="0" fillId="0" borderId="21" xfId="0" applyNumberFormat="1" applyBorder="1"/>
    <xf numFmtId="2" fontId="0" fillId="0" borderId="9" xfId="0" applyNumberFormat="1" applyBorder="1"/>
    <xf numFmtId="2" fontId="0" fillId="0" borderId="24" xfId="0" applyNumberFormat="1" applyBorder="1"/>
    <xf numFmtId="0" fontId="18" fillId="3" borderId="46" xfId="0" applyFont="1" applyFill="1" applyBorder="1" applyAlignment="1">
      <alignment horizontal="center"/>
    </xf>
    <xf numFmtId="0" fontId="0" fillId="0" borderId="28" xfId="0" applyBorder="1"/>
    <xf numFmtId="0" fontId="0" fillId="0" borderId="30" xfId="0" applyBorder="1"/>
    <xf numFmtId="0" fontId="0" fillId="0" borderId="66" xfId="0" applyBorder="1"/>
    <xf numFmtId="0" fontId="0" fillId="0" borderId="54" xfId="0" applyBorder="1"/>
    <xf numFmtId="0" fontId="0" fillId="0" borderId="55" xfId="0" applyBorder="1"/>
    <xf numFmtId="0" fontId="0" fillId="0" borderId="67" xfId="0" applyBorder="1"/>
    <xf numFmtId="0" fontId="0" fillId="0" borderId="75" xfId="0" applyBorder="1"/>
    <xf numFmtId="0" fontId="0" fillId="0" borderId="77" xfId="0" applyBorder="1"/>
    <xf numFmtId="0" fontId="0" fillId="0" borderId="44" xfId="0" applyBorder="1"/>
    <xf numFmtId="0" fontId="0" fillId="0" borderId="45" xfId="0" applyBorder="1"/>
    <xf numFmtId="0" fontId="0" fillId="0" borderId="87" xfId="0" applyBorder="1"/>
    <xf numFmtId="0" fontId="0" fillId="0" borderId="88" xfId="0" applyBorder="1"/>
    <xf numFmtId="0" fontId="0" fillId="0" borderId="89" xfId="0" applyBorder="1"/>
    <xf numFmtId="0" fontId="1" fillId="0" borderId="35" xfId="0" applyFont="1" applyBorder="1" applyAlignment="1">
      <alignment horizontal="left"/>
    </xf>
    <xf numFmtId="0" fontId="0" fillId="0" borderId="48" xfId="0" applyBorder="1"/>
    <xf numFmtId="0" fontId="0" fillId="0" borderId="36" xfId="0" applyBorder="1"/>
    <xf numFmtId="0" fontId="0" fillId="0" borderId="22" xfId="0" applyBorder="1"/>
    <xf numFmtId="0" fontId="0" fillId="0" borderId="51" xfId="0" applyBorder="1"/>
    <xf numFmtId="0" fontId="0" fillId="0" borderId="42" xfId="0" applyBorder="1"/>
    <xf numFmtId="0" fontId="0" fillId="0" borderId="24" xfId="0" applyBorder="1"/>
    <xf numFmtId="0" fontId="0" fillId="0" borderId="41" xfId="0" applyBorder="1"/>
    <xf numFmtId="0" fontId="1" fillId="0" borderId="21" xfId="0" applyFont="1" applyBorder="1" applyAlignment="1">
      <alignment horizontal="left"/>
    </xf>
    <xf numFmtId="0" fontId="33" fillId="0" borderId="0" xfId="1"/>
    <xf numFmtId="0" fontId="1" fillId="0" borderId="0" xfId="0" applyFont="1" applyAlignment="1">
      <alignment horizontal="center" vertical="top"/>
    </xf>
    <xf numFmtId="0" fontId="1" fillId="0" borderId="0" xfId="0" applyFont="1" applyAlignment="1">
      <alignment horizontal="left" vertical="center"/>
    </xf>
    <xf numFmtId="0" fontId="1" fillId="0" borderId="30" xfId="0" applyFont="1" applyBorder="1" applyAlignment="1">
      <alignment horizontal="center" vertical="center" wrapText="1"/>
    </xf>
    <xf numFmtId="0" fontId="1" fillId="0" borderId="24" xfId="0" applyFont="1" applyBorder="1" applyAlignment="1">
      <alignment horizontal="center" vertical="center" wrapText="1"/>
    </xf>
    <xf numFmtId="0" fontId="0" fillId="0" borderId="30" xfId="0" applyBorder="1" applyAlignment="1">
      <alignment horizontal="center" vertical="center" wrapText="1"/>
    </xf>
    <xf numFmtId="0" fontId="2" fillId="0" borderId="37" xfId="0" applyFont="1" applyBorder="1" applyAlignment="1">
      <alignment horizontal="center" vertical="center" wrapText="1"/>
    </xf>
    <xf numFmtId="0" fontId="7" fillId="0" borderId="37" xfId="0" applyFont="1" applyBorder="1" applyAlignment="1">
      <alignment horizontal="center" vertical="center" wrapText="1"/>
    </xf>
    <xf numFmtId="0" fontId="0" fillId="0" borderId="9" xfId="0" applyBorder="1" applyAlignment="1">
      <alignment horizontal="left" vertical="center" wrapText="1" indent="1"/>
    </xf>
    <xf numFmtId="0" fontId="0" fillId="0" borderId="41" xfId="0" applyBorder="1" applyAlignment="1">
      <alignment horizontal="left" vertical="center" wrapText="1" indent="1"/>
    </xf>
    <xf numFmtId="0" fontId="0" fillId="0" borderId="9" xfId="0" applyBorder="1" applyAlignment="1">
      <alignment horizontal="justify" vertical="center" wrapText="1"/>
    </xf>
    <xf numFmtId="0" fontId="1" fillId="0" borderId="9" xfId="0" applyFont="1" applyBorder="1" applyAlignment="1">
      <alignment horizontal="left" vertical="center" wrapText="1" indent="1"/>
    </xf>
    <xf numFmtId="0" fontId="0" fillId="0" borderId="7" xfId="0" applyBorder="1" applyAlignment="1">
      <alignment vertical="top" wrapText="1"/>
    </xf>
    <xf numFmtId="0" fontId="0" fillId="0" borderId="22" xfId="0" applyBorder="1" applyAlignment="1">
      <alignment vertical="top" wrapText="1"/>
    </xf>
    <xf numFmtId="0" fontId="0" fillId="0" borderId="42" xfId="0" applyBorder="1" applyAlignment="1">
      <alignment vertical="top" wrapText="1"/>
    </xf>
    <xf numFmtId="0" fontId="1" fillId="0" borderId="0" xfId="0" applyFont="1" applyAlignment="1">
      <alignment horizontal="justify" vertical="center"/>
    </xf>
    <xf numFmtId="0" fontId="0" fillId="0" borderId="51" xfId="0" applyBorder="1" applyAlignment="1">
      <alignment horizontal="right" vertical="center" wrapText="1"/>
    </xf>
    <xf numFmtId="0" fontId="0" fillId="0" borderId="30" xfId="0" applyBorder="1" applyAlignment="1">
      <alignment horizontal="left" vertical="center" wrapText="1"/>
    </xf>
    <xf numFmtId="0" fontId="1" fillId="0" borderId="4" xfId="0" applyFont="1" applyBorder="1" applyAlignment="1">
      <alignment horizontal="left" vertical="center" wrapText="1"/>
    </xf>
    <xf numFmtId="0" fontId="0" fillId="0" borderId="7" xfId="0" applyBorder="1" applyAlignment="1">
      <alignment horizontal="left" vertical="center" wrapText="1"/>
    </xf>
    <xf numFmtId="0" fontId="0" fillId="0" borderId="41" xfId="0" applyBorder="1" applyAlignment="1">
      <alignment horizontal="left" vertical="center" wrapText="1"/>
    </xf>
    <xf numFmtId="0" fontId="1" fillId="0" borderId="51" xfId="0" applyFont="1" applyBorder="1" applyAlignment="1">
      <alignment horizontal="center" vertical="center" wrapText="1"/>
    </xf>
    <xf numFmtId="0" fontId="0" fillId="0" borderId="106" xfId="0" applyBorder="1" applyAlignment="1">
      <alignment horizontal="left" vertical="center" wrapText="1"/>
    </xf>
    <xf numFmtId="0" fontId="0" fillId="0" borderId="110" xfId="0" applyBorder="1" applyAlignment="1">
      <alignment vertical="center" wrapText="1"/>
    </xf>
    <xf numFmtId="0" fontId="1" fillId="0" borderId="41" xfId="0" applyFont="1" applyBorder="1" applyAlignment="1">
      <alignment horizontal="left" vertical="center" wrapText="1"/>
    </xf>
    <xf numFmtId="0" fontId="1" fillId="0" borderId="30" xfId="0" applyFont="1" applyBorder="1" applyAlignment="1">
      <alignment horizontal="left" vertical="center" wrapText="1"/>
    </xf>
    <xf numFmtId="0" fontId="1" fillId="0" borderId="51" xfId="0" applyFont="1" applyBorder="1" applyAlignment="1">
      <alignment horizontal="left" vertical="center" wrapText="1"/>
    </xf>
    <xf numFmtId="0" fontId="0" fillId="0" borderId="51" xfId="0" applyBorder="1" applyAlignment="1">
      <alignment vertical="center" wrapText="1"/>
    </xf>
    <xf numFmtId="0" fontId="2" fillId="0" borderId="1" xfId="0" applyFont="1" applyBorder="1" applyAlignment="1">
      <alignment vertical="center" wrapText="1"/>
    </xf>
    <xf numFmtId="0" fontId="2" fillId="0" borderId="21" xfId="0" applyFont="1" applyBorder="1" applyAlignment="1">
      <alignment vertical="center" wrapText="1"/>
    </xf>
    <xf numFmtId="0" fontId="0" fillId="0" borderId="21" xfId="0" applyBorder="1" applyAlignment="1">
      <alignment vertical="center"/>
    </xf>
    <xf numFmtId="0" fontId="2" fillId="0" borderId="3" xfId="0" applyFont="1" applyBorder="1" applyAlignment="1">
      <alignment vertical="center" wrapText="1"/>
    </xf>
    <xf numFmtId="164" fontId="0" fillId="0" borderId="21" xfId="0" applyNumberFormat="1" applyBorder="1" applyAlignment="1">
      <alignment vertical="center" wrapText="1"/>
    </xf>
    <xf numFmtId="0" fontId="1" fillId="4" borderId="46" xfId="0" applyFont="1" applyFill="1" applyBorder="1" applyAlignment="1">
      <alignment vertical="center" wrapText="1"/>
    </xf>
    <xf numFmtId="0" fontId="1" fillId="4" borderId="2" xfId="0" applyFont="1" applyFill="1" applyBorder="1" applyAlignment="1">
      <alignment vertical="center" wrapText="1"/>
    </xf>
    <xf numFmtId="0" fontId="1" fillId="0" borderId="46" xfId="0" applyFont="1" applyBorder="1" applyAlignment="1">
      <alignment vertical="center" wrapText="1"/>
    </xf>
    <xf numFmtId="0" fontId="21" fillId="0" borderId="21" xfId="0" applyFont="1" applyBorder="1"/>
    <xf numFmtId="0" fontId="9" fillId="0" borderId="0" xfId="0" applyFont="1" applyAlignment="1">
      <alignment wrapText="1"/>
    </xf>
    <xf numFmtId="0" fontId="18" fillId="0" borderId="0" xfId="0" applyFont="1" applyAlignment="1">
      <alignment horizontal="right" vertical="center" wrapText="1"/>
    </xf>
    <xf numFmtId="0" fontId="18" fillId="0" borderId="0" xfId="0" applyFont="1" applyAlignment="1">
      <alignment horizontal="left" vertical="center" wrapText="1"/>
    </xf>
    <xf numFmtId="0" fontId="18" fillId="0" borderId="19" xfId="0" applyFont="1" applyBorder="1" applyAlignment="1">
      <alignment horizontal="justify" vertical="center" wrapText="1"/>
    </xf>
    <xf numFmtId="0" fontId="22" fillId="0" borderId="19" xfId="0" applyFont="1" applyBorder="1" applyAlignment="1">
      <alignment horizontal="justify" vertical="center" wrapText="1"/>
    </xf>
    <xf numFmtId="0" fontId="22" fillId="0" borderId="0" xfId="0" applyFont="1" applyAlignment="1">
      <alignment horizontal="right" vertical="center" wrapText="1"/>
    </xf>
    <xf numFmtId="0" fontId="18" fillId="0" borderId="0" xfId="0" applyFont="1" applyAlignment="1">
      <alignment horizontal="center" vertical="center"/>
    </xf>
    <xf numFmtId="0" fontId="18" fillId="0" borderId="0" xfId="0" applyFont="1" applyAlignment="1">
      <alignment vertical="center"/>
    </xf>
    <xf numFmtId="0" fontId="33" fillId="0" borderId="0" xfId="1" applyAlignment="1"/>
    <xf numFmtId="0" fontId="22" fillId="0" borderId="0" xfId="0" applyFont="1" applyAlignment="1">
      <alignment horizontal="justify" vertical="center" wrapText="1"/>
    </xf>
    <xf numFmtId="0" fontId="1" fillId="0" borderId="0" xfId="0" applyFont="1" applyAlignment="1">
      <alignment horizontal="justify" vertical="center" wrapText="1"/>
    </xf>
    <xf numFmtId="0" fontId="1" fillId="0" borderId="21" xfId="0" applyFont="1" applyBorder="1" applyAlignment="1">
      <alignment vertical="center"/>
    </xf>
    <xf numFmtId="0" fontId="39" fillId="0" borderId="75" xfId="0" applyFont="1" applyBorder="1"/>
    <xf numFmtId="0" fontId="39" fillId="0" borderId="85" xfId="0" applyFont="1" applyBorder="1"/>
    <xf numFmtId="0" fontId="39" fillId="0" borderId="47" xfId="0" applyFont="1" applyBorder="1"/>
    <xf numFmtId="0" fontId="39" fillId="0" borderId="79" xfId="0" applyFont="1" applyBorder="1"/>
    <xf numFmtId="0" fontId="39" fillId="0" borderId="116" xfId="0" applyFont="1" applyBorder="1"/>
    <xf numFmtId="0" fontId="39" fillId="0" borderId="80" xfId="0" applyFont="1" applyBorder="1"/>
    <xf numFmtId="0" fontId="0" fillId="0" borderId="0" xfId="0" applyAlignment="1">
      <alignment horizontal="justify" vertical="center" wrapText="1"/>
    </xf>
    <xf numFmtId="0" fontId="0" fillId="0" borderId="102" xfId="0" applyBorder="1" applyAlignment="1">
      <alignment horizontal="center" vertical="center" wrapText="1"/>
    </xf>
    <xf numFmtId="0" fontId="0" fillId="0" borderId="101" xfId="0" applyBorder="1" applyAlignment="1">
      <alignment horizontal="left" vertical="center"/>
    </xf>
    <xf numFmtId="0" fontId="12" fillId="0" borderId="101" xfId="0" applyFont="1" applyBorder="1" applyAlignment="1">
      <alignment horizontal="center" vertical="center"/>
    </xf>
    <xf numFmtId="0" fontId="0" fillId="0" borderId="101" xfId="0" applyBorder="1" applyAlignment="1">
      <alignment horizontal="center" vertical="center" wrapText="1"/>
    </xf>
    <xf numFmtId="0" fontId="0" fillId="0" borderId="101" xfId="0" applyBorder="1"/>
    <xf numFmtId="0" fontId="0" fillId="0" borderId="101" xfId="0" applyBorder="1" applyAlignment="1">
      <alignment horizontal="right" vertical="center"/>
    </xf>
    <xf numFmtId="0" fontId="25" fillId="3" borderId="90" xfId="0" applyFont="1" applyFill="1" applyBorder="1" applyAlignment="1">
      <alignment horizontal="center" vertical="center" wrapText="1"/>
    </xf>
    <xf numFmtId="0" fontId="25" fillId="3" borderId="29" xfId="0" applyFont="1" applyFill="1" applyBorder="1" applyAlignment="1">
      <alignment horizontal="center" vertical="center" wrapText="1"/>
    </xf>
    <xf numFmtId="0" fontId="0" fillId="3" borderId="29" xfId="0" applyFill="1" applyBorder="1" applyAlignment="1">
      <alignment horizontal="center" vertical="center"/>
    </xf>
    <xf numFmtId="0" fontId="0" fillId="3" borderId="30" xfId="0" applyFill="1" applyBorder="1" applyAlignment="1">
      <alignment horizontal="center" vertical="center" wrapText="1"/>
    </xf>
    <xf numFmtId="0" fontId="39" fillId="3" borderId="73" xfId="0" applyFont="1" applyFill="1" applyBorder="1"/>
    <xf numFmtId="0" fontId="39" fillId="3" borderId="53" xfId="0" applyFont="1" applyFill="1" applyBorder="1"/>
    <xf numFmtId="0" fontId="39" fillId="3" borderId="47" xfId="0" applyFont="1" applyFill="1" applyBorder="1"/>
    <xf numFmtId="0" fontId="39" fillId="3" borderId="117" xfId="0" applyFont="1" applyFill="1" applyBorder="1"/>
    <xf numFmtId="0" fontId="25" fillId="0" borderId="0" xfId="0" applyFont="1" applyAlignment="1">
      <alignment vertical="center"/>
    </xf>
    <xf numFmtId="0" fontId="25" fillId="0" borderId="0" xfId="0" applyFont="1" applyAlignment="1">
      <alignment horizontal="justify" vertical="center" wrapText="1"/>
    </xf>
    <xf numFmtId="2" fontId="0" fillId="0" borderId="0" xfId="0" applyNumberFormat="1" applyAlignment="1">
      <alignment horizontal="right" vertical="center" wrapText="1"/>
    </xf>
    <xf numFmtId="2" fontId="0" fillId="0" borderId="74" xfId="0" applyNumberFormat="1" applyBorder="1"/>
    <xf numFmtId="2" fontId="0" fillId="0" borderId="3" xfId="0" applyNumberFormat="1" applyBorder="1"/>
    <xf numFmtId="2" fontId="0" fillId="0" borderId="72" xfId="0" applyNumberFormat="1" applyBorder="1"/>
    <xf numFmtId="2" fontId="0" fillId="0" borderId="86" xfId="0" applyNumberFormat="1" applyBorder="1"/>
    <xf numFmtId="0" fontId="1" fillId="3" borderId="28"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22" fillId="3" borderId="78" xfId="0" applyFont="1" applyFill="1" applyBorder="1" applyAlignment="1">
      <alignment horizontal="center" vertical="center" wrapText="1"/>
    </xf>
    <xf numFmtId="0" fontId="22" fillId="3" borderId="116" xfId="0" applyFont="1" applyFill="1" applyBorder="1" applyAlignment="1">
      <alignment horizontal="center" vertical="center" wrapText="1"/>
    </xf>
    <xf numFmtId="0" fontId="22" fillId="3" borderId="80" xfId="0" applyFont="1" applyFill="1" applyBorder="1" applyAlignment="1">
      <alignment horizontal="center" vertical="center"/>
    </xf>
    <xf numFmtId="0" fontId="22" fillId="3" borderId="76" xfId="0" applyFont="1" applyFill="1" applyBorder="1" applyAlignment="1">
      <alignment horizontal="center" wrapText="1"/>
    </xf>
    <xf numFmtId="0" fontId="1" fillId="3" borderId="67" xfId="0" applyFont="1" applyFill="1" applyBorder="1" applyAlignment="1">
      <alignment wrapText="1"/>
    </xf>
    <xf numFmtId="0" fontId="22" fillId="3" borderId="83" xfId="0" applyFont="1" applyFill="1" applyBorder="1" applyAlignment="1">
      <alignment horizontal="center" vertical="center" wrapText="1"/>
    </xf>
    <xf numFmtId="0" fontId="39" fillId="0" borderId="84" xfId="0" applyFont="1" applyBorder="1"/>
    <xf numFmtId="0" fontId="22" fillId="3" borderId="66" xfId="0" applyFont="1" applyFill="1" applyBorder="1" applyAlignment="1">
      <alignment horizontal="center" wrapText="1"/>
    </xf>
    <xf numFmtId="0" fontId="39" fillId="3" borderId="85" xfId="0" applyFont="1" applyFill="1" applyBorder="1"/>
    <xf numFmtId="0" fontId="22" fillId="3" borderId="43" xfId="0" applyFont="1" applyFill="1" applyBorder="1" applyAlignment="1">
      <alignment horizontal="center" vertical="center" wrapText="1"/>
    </xf>
    <xf numFmtId="0" fontId="39" fillId="3" borderId="79" xfId="0" applyFont="1" applyFill="1" applyBorder="1"/>
    <xf numFmtId="0" fontId="39" fillId="0" borderId="44" xfId="0" applyFont="1" applyBorder="1"/>
    <xf numFmtId="0" fontId="18" fillId="0" borderId="0" xfId="0" applyFont="1" applyAlignment="1">
      <alignment horizontal="justify" vertical="center" wrapText="1"/>
    </xf>
    <xf numFmtId="0" fontId="18" fillId="0" borderId="0" xfId="0" applyFont="1" applyAlignment="1">
      <alignment horizontal="center" vertical="center" wrapText="1"/>
    </xf>
    <xf numFmtId="0" fontId="25" fillId="0" borderId="0" xfId="0" applyFont="1" applyAlignment="1">
      <alignment wrapText="1"/>
    </xf>
    <xf numFmtId="0" fontId="25" fillId="0" borderId="0" xfId="0" applyFont="1" applyAlignment="1">
      <alignment horizontal="center" vertical="center" wrapText="1"/>
    </xf>
    <xf numFmtId="0" fontId="1" fillId="3" borderId="101" xfId="0" applyFont="1" applyFill="1" applyBorder="1" applyAlignment="1">
      <alignment horizontal="center" vertical="center" wrapText="1"/>
    </xf>
    <xf numFmtId="0" fontId="1" fillId="3" borderId="101" xfId="0" applyFont="1" applyFill="1" applyBorder="1" applyAlignment="1">
      <alignment horizontal="center" vertical="center"/>
    </xf>
    <xf numFmtId="0" fontId="1" fillId="3" borderId="100" xfId="0" applyFont="1" applyFill="1" applyBorder="1" applyAlignment="1">
      <alignment horizontal="center" vertical="center" wrapText="1"/>
    </xf>
    <xf numFmtId="0" fontId="1" fillId="3" borderId="88" xfId="0" applyFont="1" applyFill="1" applyBorder="1" applyAlignment="1">
      <alignment horizontal="center" vertical="center"/>
    </xf>
    <xf numFmtId="0" fontId="1" fillId="3" borderId="102" xfId="0" applyFont="1" applyFill="1" applyBorder="1" applyAlignment="1">
      <alignment horizontal="center"/>
    </xf>
    <xf numFmtId="0" fontId="22" fillId="0" borderId="0" xfId="0" applyFont="1" applyAlignment="1">
      <alignment vertical="center"/>
    </xf>
    <xf numFmtId="2" fontId="0" fillId="0" borderId="77" xfId="0" applyNumberFormat="1" applyBorder="1"/>
    <xf numFmtId="2" fontId="0" fillId="0" borderId="44" xfId="0" applyNumberFormat="1" applyBorder="1"/>
    <xf numFmtId="0" fontId="0" fillId="0" borderId="0" xfId="0" applyAlignment="1">
      <alignment vertical="justify"/>
    </xf>
    <xf numFmtId="0" fontId="22" fillId="0" borderId="0" xfId="0" applyFont="1" applyAlignment="1">
      <alignment horizontal="center" vertical="center" wrapText="1"/>
    </xf>
    <xf numFmtId="4" fontId="26" fillId="0" borderId="0" xfId="0" applyNumberFormat="1" applyFont="1" applyAlignment="1">
      <alignment horizontal="center" vertical="center"/>
    </xf>
    <xf numFmtId="0" fontId="0" fillId="0" borderId="0" xfId="0" applyAlignment="1">
      <alignment wrapText="1"/>
    </xf>
    <xf numFmtId="0" fontId="22" fillId="0" borderId="0" xfId="0" applyFont="1" applyAlignment="1">
      <alignment horizontal="center" vertical="center"/>
    </xf>
    <xf numFmtId="0" fontId="1" fillId="3" borderId="33"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41" xfId="0" applyFont="1" applyFill="1" applyBorder="1" applyAlignment="1">
      <alignment horizontal="center" vertical="center" wrapText="1"/>
    </xf>
    <xf numFmtId="0" fontId="22" fillId="3" borderId="17" xfId="0" applyFont="1" applyFill="1" applyBorder="1" applyAlignment="1">
      <alignment horizontal="center" vertical="center" wrapText="1"/>
    </xf>
    <xf numFmtId="49" fontId="22" fillId="3" borderId="48" xfId="0" applyNumberFormat="1" applyFont="1" applyFill="1" applyBorder="1" applyAlignment="1">
      <alignment horizontal="center" vertical="center" wrapText="1"/>
    </xf>
    <xf numFmtId="0" fontId="1" fillId="3" borderId="74"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1" fillId="3" borderId="43" xfId="0" applyFont="1" applyFill="1" applyBorder="1" applyAlignment="1">
      <alignment horizontal="center" vertical="center" wrapText="1"/>
    </xf>
    <xf numFmtId="0" fontId="1" fillId="3" borderId="44" xfId="0" applyFont="1" applyFill="1" applyBorder="1" applyAlignment="1">
      <alignment horizontal="center" vertical="center" wrapText="1"/>
    </xf>
    <xf numFmtId="0" fontId="1" fillId="3" borderId="77" xfId="0" applyFont="1" applyFill="1" applyBorder="1" applyAlignment="1">
      <alignment horizontal="center" vertical="center" wrapText="1"/>
    </xf>
    <xf numFmtId="0" fontId="1" fillId="3" borderId="44" xfId="0" applyFont="1" applyFill="1" applyBorder="1" applyAlignment="1">
      <alignment vertical="center" wrapText="1"/>
    </xf>
    <xf numFmtId="0" fontId="22" fillId="3" borderId="72" xfId="0" applyFont="1" applyFill="1" applyBorder="1" applyAlignment="1">
      <alignment horizontal="center" vertical="center" wrapText="1"/>
    </xf>
    <xf numFmtId="0" fontId="1" fillId="3" borderId="78" xfId="0" applyFont="1" applyFill="1" applyBorder="1" applyAlignment="1">
      <alignment horizontal="center" vertical="center"/>
    </xf>
    <xf numFmtId="0" fontId="1" fillId="3" borderId="80" xfId="0" applyFont="1" applyFill="1" applyBorder="1" applyAlignment="1">
      <alignment horizontal="center" vertical="center"/>
    </xf>
    <xf numFmtId="0" fontId="1" fillId="3" borderId="79" xfId="0" applyFont="1" applyFill="1" applyBorder="1" applyAlignment="1">
      <alignment horizontal="center" vertical="center"/>
    </xf>
    <xf numFmtId="0" fontId="1" fillId="3" borderId="77" xfId="0" applyFont="1" applyFill="1" applyBorder="1" applyAlignment="1">
      <alignment horizontal="center" vertical="center"/>
    </xf>
    <xf numFmtId="0" fontId="1" fillId="3" borderId="44" xfId="0" applyFont="1" applyFill="1" applyBorder="1" applyAlignment="1">
      <alignment vertical="center"/>
    </xf>
    <xf numFmtId="0" fontId="1" fillId="0" borderId="44" xfId="0" applyFont="1" applyBorder="1" applyAlignment="1">
      <alignment vertical="center"/>
    </xf>
    <xf numFmtId="0" fontId="1" fillId="3" borderId="43" xfId="0" applyFont="1" applyFill="1" applyBorder="1" applyAlignment="1">
      <alignment horizontal="center" vertical="center"/>
    </xf>
    <xf numFmtId="0" fontId="41" fillId="0" borderId="78" xfId="0" applyFont="1" applyBorder="1" applyAlignment="1">
      <alignment horizontal="center" vertical="center" wrapText="1"/>
    </xf>
    <xf numFmtId="0" fontId="22" fillId="3" borderId="9" xfId="0" applyFont="1" applyFill="1" applyBorder="1" applyAlignment="1">
      <alignment horizontal="center" vertical="center" wrapText="1"/>
    </xf>
    <xf numFmtId="0" fontId="1" fillId="3" borderId="35" xfId="0" applyFont="1" applyFill="1" applyBorder="1" applyAlignment="1">
      <alignment horizontal="center" vertical="center" wrapText="1"/>
    </xf>
    <xf numFmtId="0" fontId="1" fillId="3" borderId="42" xfId="0" applyFont="1" applyFill="1" applyBorder="1" applyAlignment="1">
      <alignment horizontal="center" vertical="center" wrapText="1"/>
    </xf>
    <xf numFmtId="2" fontId="0" fillId="0" borderId="116" xfId="0" applyNumberFormat="1" applyBorder="1" applyAlignment="1">
      <alignment horizontal="right" vertical="center" wrapText="1"/>
    </xf>
    <xf numFmtId="0" fontId="1" fillId="0" borderId="116" xfId="0" applyFont="1" applyBorder="1" applyAlignment="1">
      <alignment horizontal="center" vertical="center" wrapText="1"/>
    </xf>
    <xf numFmtId="0" fontId="1" fillId="0" borderId="80" xfId="0" applyFont="1" applyBorder="1" applyAlignment="1">
      <alignment horizontal="center" vertical="center" wrapText="1"/>
    </xf>
    <xf numFmtId="0" fontId="0" fillId="3" borderId="34" xfId="0" applyFill="1" applyBorder="1" applyAlignment="1">
      <alignment horizontal="center"/>
    </xf>
    <xf numFmtId="0" fontId="1" fillId="3" borderId="45" xfId="0" applyFont="1" applyFill="1" applyBorder="1" applyAlignment="1">
      <alignment horizontal="center" wrapText="1"/>
    </xf>
    <xf numFmtId="0" fontId="1" fillId="3" borderId="57" xfId="0" applyFont="1" applyFill="1" applyBorder="1" applyAlignment="1">
      <alignment horizontal="center" wrapText="1"/>
    </xf>
    <xf numFmtId="0" fontId="22" fillId="3" borderId="41"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0" fillId="3" borderId="11" xfId="0" applyFill="1" applyBorder="1"/>
    <xf numFmtId="0" fontId="34" fillId="0" borderId="11" xfId="0" applyFont="1" applyBorder="1" applyProtection="1">
      <protection locked="0"/>
    </xf>
    <xf numFmtId="0" fontId="1" fillId="3" borderId="101" xfId="0" applyFont="1" applyFill="1" applyBorder="1" applyAlignment="1">
      <alignment horizontal="center"/>
    </xf>
    <xf numFmtId="0" fontId="0" fillId="0" borderId="29" xfId="0" applyBorder="1" applyAlignment="1">
      <alignment horizontal="left" vertical="center" wrapText="1"/>
    </xf>
    <xf numFmtId="2" fontId="0" fillId="3" borderId="116" xfId="0" applyNumberFormat="1" applyFill="1" applyBorder="1" applyAlignment="1">
      <alignment horizontal="right" vertical="center" wrapText="1"/>
    </xf>
    <xf numFmtId="2" fontId="0" fillId="3" borderId="120" xfId="0" applyNumberFormat="1" applyFill="1" applyBorder="1" applyAlignment="1">
      <alignment horizontal="right" vertical="center" wrapText="1"/>
    </xf>
    <xf numFmtId="0" fontId="1" fillId="0" borderId="22" xfId="0" applyFont="1" applyBorder="1"/>
    <xf numFmtId="0" fontId="1" fillId="3" borderId="46" xfId="0" applyFont="1" applyFill="1" applyBorder="1" applyAlignment="1">
      <alignment horizontal="center" vertical="center" wrapText="1"/>
    </xf>
    <xf numFmtId="0" fontId="1" fillId="3" borderId="0" xfId="0" applyFont="1" applyFill="1" applyAlignment="1">
      <alignment wrapText="1"/>
    </xf>
    <xf numFmtId="0" fontId="18" fillId="0" borderId="77" xfId="0" applyFont="1" applyBorder="1" applyAlignment="1">
      <alignment horizontal="center" vertical="center" wrapText="1"/>
    </xf>
    <xf numFmtId="0" fontId="22" fillId="0" borderId="0" xfId="0" applyFont="1" applyAlignment="1">
      <alignment horizontal="left" vertical="center"/>
    </xf>
    <xf numFmtId="2" fontId="0" fillId="0" borderId="0" xfId="0" applyNumberFormat="1" applyAlignment="1">
      <alignment horizontal="right" vertical="center"/>
    </xf>
    <xf numFmtId="0" fontId="0" fillId="0" borderId="0" xfId="0" applyAlignment="1">
      <alignment horizontal="justify" vertical="center"/>
    </xf>
    <xf numFmtId="0" fontId="0" fillId="0" borderId="22" xfId="0" applyBorder="1" applyAlignment="1">
      <alignment vertical="center"/>
    </xf>
    <xf numFmtId="0" fontId="22" fillId="0" borderId="114" xfId="0" applyFont="1" applyBorder="1"/>
    <xf numFmtId="0" fontId="18" fillId="0" borderId="0" xfId="0" applyFont="1" applyAlignment="1">
      <alignment vertical="center" wrapText="1"/>
    </xf>
    <xf numFmtId="0" fontId="1" fillId="3" borderId="29" xfId="0" applyFont="1" applyFill="1" applyBorder="1" applyAlignment="1">
      <alignment horizontal="center" vertical="center" wrapText="1"/>
    </xf>
    <xf numFmtId="0" fontId="1" fillId="0" borderId="75" xfId="0" applyFont="1" applyBorder="1" applyAlignment="1">
      <alignment horizontal="left"/>
    </xf>
    <xf numFmtId="0" fontId="0" fillId="3" borderId="41" xfId="0" applyFill="1" applyBorder="1" applyAlignment="1">
      <alignment horizontal="center" vertical="center" wrapText="1"/>
    </xf>
    <xf numFmtId="0" fontId="0" fillId="0" borderId="75" xfId="0" applyBorder="1" applyAlignment="1">
      <alignment horizontal="left" vertical="center" wrapText="1"/>
    </xf>
    <xf numFmtId="165" fontId="34" fillId="0" borderId="83" xfId="0" applyNumberFormat="1" applyFont="1" applyBorder="1"/>
    <xf numFmtId="0" fontId="34" fillId="0" borderId="10" xfId="0" applyFont="1" applyBorder="1" applyAlignment="1">
      <alignment horizontal="center" vertical="center"/>
    </xf>
    <xf numFmtId="0" fontId="34" fillId="0" borderId="84" xfId="0" applyFont="1" applyBorder="1" applyAlignment="1">
      <alignment horizontal="center" vertical="center"/>
    </xf>
    <xf numFmtId="0" fontId="34" fillId="0" borderId="11" xfId="0" applyFont="1" applyBorder="1" applyAlignment="1">
      <alignment horizontal="center" vertical="center"/>
    </xf>
    <xf numFmtId="0" fontId="34" fillId="0" borderId="75" xfId="0" applyFont="1" applyBorder="1" applyAlignment="1">
      <alignment horizontal="center" vertical="center"/>
    </xf>
    <xf numFmtId="165" fontId="34" fillId="0" borderId="78" xfId="0" applyNumberFormat="1" applyFont="1" applyBorder="1"/>
    <xf numFmtId="0" fontId="34" fillId="0" borderId="77" xfId="0" applyFont="1" applyBorder="1" applyAlignment="1">
      <alignment horizontal="center" vertical="center"/>
    </xf>
    <xf numFmtId="0" fontId="34" fillId="0" borderId="44" xfId="0" applyFont="1" applyBorder="1" applyAlignment="1">
      <alignment horizontal="center" vertical="center"/>
    </xf>
    <xf numFmtId="0" fontId="1" fillId="0" borderId="9" xfId="0" applyFont="1" applyBorder="1"/>
    <xf numFmtId="0" fontId="22" fillId="3" borderId="87" xfId="0" applyFont="1" applyFill="1" applyBorder="1" applyAlignment="1">
      <alignment horizontal="center" vertical="center" wrapText="1"/>
    </xf>
    <xf numFmtId="0" fontId="22" fillId="3" borderId="90" xfId="0" applyFont="1" applyFill="1" applyBorder="1" applyAlignment="1">
      <alignment horizontal="center" vertical="center" wrapText="1"/>
    </xf>
    <xf numFmtId="0" fontId="22" fillId="3" borderId="88" xfId="0" applyFont="1" applyFill="1" applyBorder="1" applyAlignment="1">
      <alignment horizontal="center" vertical="center" wrapText="1"/>
    </xf>
    <xf numFmtId="0" fontId="22" fillId="3" borderId="89" xfId="0" applyFont="1" applyFill="1" applyBorder="1" applyAlignment="1">
      <alignment horizontal="center" vertical="center" wrapText="1"/>
    </xf>
    <xf numFmtId="0" fontId="40" fillId="3" borderId="51" xfId="0" applyFont="1" applyFill="1" applyBorder="1" applyAlignment="1">
      <alignment horizontal="center" vertical="center" wrapText="1"/>
    </xf>
    <xf numFmtId="0" fontId="40" fillId="3" borderId="41" xfId="0" applyFont="1" applyFill="1" applyBorder="1" applyAlignment="1">
      <alignment horizontal="center" vertical="center" wrapText="1"/>
    </xf>
    <xf numFmtId="49" fontId="1" fillId="3" borderId="62" xfId="0" applyNumberFormat="1" applyFont="1" applyFill="1" applyBorder="1" applyAlignment="1">
      <alignment horizontal="center" vertical="center" wrapText="1"/>
    </xf>
    <xf numFmtId="49" fontId="1" fillId="3" borderId="19" xfId="0" applyNumberFormat="1" applyFont="1" applyFill="1" applyBorder="1" applyAlignment="1">
      <alignment horizontal="center" vertical="center" wrapText="1"/>
    </xf>
    <xf numFmtId="49" fontId="0" fillId="3" borderId="25" xfId="0" applyNumberFormat="1" applyFill="1" applyBorder="1" applyAlignment="1">
      <alignment horizontal="center" vertical="center" wrapText="1"/>
    </xf>
    <xf numFmtId="49" fontId="0" fillId="3" borderId="52" xfId="0" applyNumberFormat="1" applyFill="1" applyBorder="1" applyAlignment="1">
      <alignment horizontal="center" vertical="center" wrapText="1"/>
    </xf>
    <xf numFmtId="49" fontId="0" fillId="3" borderId="36" xfId="0" applyNumberFormat="1" applyFill="1" applyBorder="1" applyAlignment="1">
      <alignment horizontal="center" vertical="center" wrapText="1"/>
    </xf>
    <xf numFmtId="49" fontId="0" fillId="3" borderId="31" xfId="0" applyNumberFormat="1" applyFill="1" applyBorder="1" applyAlignment="1">
      <alignment horizontal="center" vertical="center" wrapText="1"/>
    </xf>
    <xf numFmtId="49" fontId="0" fillId="3" borderId="19" xfId="0" applyNumberFormat="1" applyFill="1" applyBorder="1" applyAlignment="1">
      <alignment horizontal="center" vertical="center" wrapText="1"/>
    </xf>
    <xf numFmtId="49" fontId="0" fillId="3" borderId="97" xfId="0" applyNumberFormat="1" applyFill="1" applyBorder="1" applyAlignment="1">
      <alignment vertical="center" wrapText="1"/>
    </xf>
    <xf numFmtId="49" fontId="0" fillId="3" borderId="64" xfId="0" applyNumberFormat="1" applyFill="1" applyBorder="1" applyAlignment="1">
      <alignment horizontal="center" vertical="center" wrapText="1"/>
    </xf>
    <xf numFmtId="49" fontId="0" fillId="3" borderId="64" xfId="0" applyNumberFormat="1" applyFill="1" applyBorder="1" applyAlignment="1">
      <alignment vertical="center" wrapText="1"/>
    </xf>
    <xf numFmtId="49" fontId="0" fillId="3" borderId="51" xfId="0" applyNumberFormat="1" applyFill="1" applyBorder="1" applyAlignment="1">
      <alignment horizontal="center" vertical="center" wrapText="1"/>
    </xf>
    <xf numFmtId="49" fontId="0" fillId="3" borderId="40" xfId="0" applyNumberFormat="1" applyFill="1" applyBorder="1" applyAlignment="1">
      <alignment horizontal="center" vertical="center" wrapText="1"/>
    </xf>
    <xf numFmtId="49" fontId="0" fillId="3" borderId="41" xfId="0" applyNumberFormat="1" applyFill="1" applyBorder="1" applyAlignment="1">
      <alignment vertical="center" wrapText="1"/>
    </xf>
    <xf numFmtId="49" fontId="1" fillId="3" borderId="4"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0" fontId="0" fillId="3" borderId="45" xfId="0" applyFill="1" applyBorder="1" applyAlignment="1">
      <alignment horizontal="center" vertical="center" wrapText="1"/>
    </xf>
    <xf numFmtId="0" fontId="0" fillId="3" borderId="45" xfId="0" applyFill="1" applyBorder="1" applyAlignment="1">
      <alignment horizontal="center" vertical="center"/>
    </xf>
    <xf numFmtId="0" fontId="0" fillId="3" borderId="57" xfId="0" applyFill="1" applyBorder="1" applyAlignment="1">
      <alignment horizontal="center" vertical="center" wrapText="1"/>
    </xf>
    <xf numFmtId="0" fontId="0" fillId="0" borderId="11" xfId="0" applyBorder="1" applyAlignment="1">
      <alignment vertical="center" wrapText="1"/>
    </xf>
    <xf numFmtId="0" fontId="0" fillId="0" borderId="77" xfId="0" applyBorder="1" applyAlignment="1">
      <alignment horizontal="right" vertical="center"/>
    </xf>
    <xf numFmtId="0" fontId="0" fillId="0" borderId="102" xfId="0" applyBorder="1"/>
    <xf numFmtId="0" fontId="1" fillId="3" borderId="101" xfId="0" applyFont="1" applyFill="1" applyBorder="1" applyAlignment="1">
      <alignment horizontal="center" wrapText="1"/>
    </xf>
    <xf numFmtId="0" fontId="1" fillId="3" borderId="102" xfId="0" applyFont="1" applyFill="1" applyBorder="1" applyAlignment="1">
      <alignment horizontal="center" wrapText="1"/>
    </xf>
    <xf numFmtId="0" fontId="1" fillId="0" borderId="10" xfId="0" applyFont="1" applyBorder="1" applyAlignment="1">
      <alignment horizontal="center" wrapText="1"/>
    </xf>
    <xf numFmtId="0" fontId="1" fillId="0" borderId="69" xfId="0" applyFont="1" applyBorder="1" applyAlignment="1">
      <alignment horizontal="center" wrapText="1"/>
    </xf>
    <xf numFmtId="0" fontId="1" fillId="0" borderId="84" xfId="0" applyFont="1" applyBorder="1" applyAlignment="1">
      <alignment horizontal="center" wrapText="1"/>
    </xf>
    <xf numFmtId="0" fontId="1" fillId="0" borderId="11" xfId="0" applyFont="1" applyBorder="1" applyAlignment="1">
      <alignment horizontal="left"/>
    </xf>
    <xf numFmtId="0" fontId="1" fillId="0" borderId="46" xfId="0" applyFont="1" applyBorder="1" applyAlignment="1">
      <alignment horizontal="left"/>
    </xf>
    <xf numFmtId="0" fontId="1" fillId="0" borderId="77" xfId="0" applyFont="1" applyBorder="1" applyAlignment="1">
      <alignment horizontal="left" vertical="center" wrapText="1" indent="1"/>
    </xf>
    <xf numFmtId="0" fontId="1" fillId="0" borderId="81" xfId="0" applyFont="1" applyBorder="1" applyAlignment="1">
      <alignment horizontal="left" vertical="center" wrapText="1" indent="1"/>
    </xf>
    <xf numFmtId="0" fontId="1" fillId="0" borderId="68" xfId="0" applyFont="1" applyBorder="1" applyAlignment="1">
      <alignment horizontal="left" vertical="center" wrapText="1" indent="1"/>
    </xf>
    <xf numFmtId="0" fontId="1" fillId="0" borderId="57" xfId="0" applyFont="1" applyBorder="1" applyAlignment="1">
      <alignment horizontal="left" vertical="center" wrapText="1" indent="1"/>
    </xf>
    <xf numFmtId="0" fontId="1" fillId="0" borderId="88" xfId="0" applyFont="1" applyBorder="1" applyAlignment="1">
      <alignment horizontal="left" vertical="center" wrapText="1" indent="1"/>
    </xf>
    <xf numFmtId="0" fontId="1" fillId="0" borderId="89" xfId="0" applyFont="1" applyBorder="1" applyAlignment="1">
      <alignment horizontal="left" vertical="center" wrapText="1" indent="1"/>
    </xf>
    <xf numFmtId="0" fontId="1" fillId="3" borderId="103" xfId="0" applyFont="1" applyFill="1" applyBorder="1" applyAlignment="1">
      <alignment horizontal="center" vertical="center" wrapText="1"/>
    </xf>
    <xf numFmtId="0" fontId="1" fillId="3" borderId="89" xfId="0" applyFont="1" applyFill="1" applyBorder="1" applyAlignment="1">
      <alignment horizontal="center" vertical="center" wrapText="1"/>
    </xf>
    <xf numFmtId="0" fontId="14" fillId="3" borderId="29" xfId="0" applyFont="1" applyFill="1" applyBorder="1" applyAlignment="1">
      <alignment horizontal="center" vertical="center" wrapText="1"/>
    </xf>
    <xf numFmtId="2" fontId="1" fillId="3" borderId="77"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22" fillId="0" borderId="0" xfId="0" applyFont="1" applyAlignment="1">
      <alignment vertical="center" wrapText="1"/>
    </xf>
    <xf numFmtId="0" fontId="18" fillId="0" borderId="22" xfId="0" applyFont="1" applyBorder="1" applyAlignment="1">
      <alignment vertical="center"/>
    </xf>
    <xf numFmtId="0" fontId="9" fillId="0" borderId="21" xfId="0" applyFont="1" applyBorder="1" applyAlignment="1">
      <alignment vertical="center" wrapText="1"/>
    </xf>
    <xf numFmtId="0" fontId="9" fillId="0" borderId="0" xfId="0" applyFont="1" applyAlignment="1">
      <alignment vertical="center" wrapText="1"/>
    </xf>
    <xf numFmtId="0" fontId="1" fillId="0" borderId="21" xfId="0" applyFont="1" applyBorder="1" applyAlignment="1">
      <alignment vertical="center" wrapText="1"/>
    </xf>
    <xf numFmtId="0" fontId="18" fillId="3" borderId="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1" xfId="0" applyFill="1" applyBorder="1" applyAlignment="1">
      <alignment vertical="center" wrapText="1"/>
    </xf>
    <xf numFmtId="0" fontId="0" fillId="3" borderId="30" xfId="0" applyFill="1" applyBorder="1" applyAlignment="1">
      <alignment vertical="center" wrapText="1"/>
    </xf>
    <xf numFmtId="0" fontId="18" fillId="3" borderId="29" xfId="0" applyFont="1" applyFill="1" applyBorder="1" applyAlignment="1">
      <alignment vertical="center" wrapText="1"/>
    </xf>
    <xf numFmtId="0" fontId="1" fillId="3" borderId="34" xfId="0" applyFont="1" applyFill="1" applyBorder="1" applyAlignment="1">
      <alignment horizontal="center" vertical="center" wrapText="1"/>
    </xf>
    <xf numFmtId="0" fontId="1" fillId="3" borderId="9" xfId="0" applyFont="1" applyFill="1" applyBorder="1" applyAlignment="1">
      <alignment horizontal="center" vertical="center"/>
    </xf>
    <xf numFmtId="0" fontId="22" fillId="3" borderId="54" xfId="0" applyFont="1" applyFill="1" applyBorder="1" applyAlignment="1">
      <alignment horizontal="center" vertical="center" wrapText="1"/>
    </xf>
    <xf numFmtId="0" fontId="22" fillId="3" borderId="55" xfId="0" applyFont="1" applyFill="1" applyBorder="1" applyAlignment="1">
      <alignment horizontal="center" vertical="center" wrapText="1"/>
    </xf>
    <xf numFmtId="0" fontId="22" fillId="0" borderId="0" xfId="0" applyFont="1" applyAlignment="1">
      <alignment horizontal="center"/>
    </xf>
    <xf numFmtId="0" fontId="22" fillId="3" borderId="104" xfId="0" applyFont="1" applyFill="1" applyBorder="1" applyAlignment="1">
      <alignment horizontal="center" vertical="center" wrapText="1"/>
    </xf>
    <xf numFmtId="0" fontId="22" fillId="3" borderId="70" xfId="0" applyFont="1" applyFill="1" applyBorder="1" applyAlignment="1">
      <alignment horizontal="center" vertical="center" wrapText="1"/>
    </xf>
    <xf numFmtId="0" fontId="34" fillId="0" borderId="67" xfId="0" applyFont="1" applyBorder="1" applyProtection="1">
      <protection locked="0"/>
    </xf>
    <xf numFmtId="0" fontId="18" fillId="3" borderId="75" xfId="0" applyFont="1" applyFill="1" applyBorder="1" applyAlignment="1">
      <alignment horizontal="center"/>
    </xf>
    <xf numFmtId="0" fontId="34" fillId="0" borderId="43" xfId="0" applyFont="1" applyBorder="1" applyProtection="1">
      <protection locked="0"/>
    </xf>
    <xf numFmtId="0" fontId="34" fillId="0" borderId="77" xfId="0" applyFont="1" applyBorder="1" applyProtection="1">
      <protection locked="0"/>
    </xf>
    <xf numFmtId="0" fontId="34" fillId="0" borderId="77" xfId="0" applyFont="1" applyBorder="1" applyAlignment="1">
      <alignment horizontal="center"/>
    </xf>
    <xf numFmtId="3" fontId="34" fillId="0" borderId="81" xfId="0" applyNumberFormat="1" applyFont="1" applyBorder="1" applyAlignment="1">
      <alignment horizontal="center" vertical="center"/>
    </xf>
    <xf numFmtId="0" fontId="18" fillId="3" borderId="79" xfId="0" applyFont="1" applyFill="1" applyBorder="1" applyAlignment="1">
      <alignment horizontal="center" vertical="center"/>
    </xf>
    <xf numFmtId="0" fontId="18" fillId="3" borderId="81" xfId="0" applyFont="1" applyFill="1" applyBorder="1" applyAlignment="1">
      <alignment horizontal="center"/>
    </xf>
    <xf numFmtId="0" fontId="18" fillId="3" borderId="44" xfId="0" applyFont="1" applyFill="1" applyBorder="1" applyAlignment="1">
      <alignment horizontal="center"/>
    </xf>
    <xf numFmtId="0" fontId="22" fillId="3" borderId="66" xfId="0" applyFont="1" applyFill="1" applyBorder="1" applyAlignment="1">
      <alignment horizontal="center" vertical="center" wrapText="1"/>
    </xf>
    <xf numFmtId="0" fontId="22" fillId="3" borderId="9" xfId="0" applyFont="1" applyFill="1" applyBorder="1" applyAlignment="1">
      <alignment horizontal="center"/>
    </xf>
    <xf numFmtId="3" fontId="22" fillId="3" borderId="9" xfId="0" applyNumberFormat="1" applyFont="1" applyFill="1" applyBorder="1" applyAlignment="1">
      <alignment horizontal="center"/>
    </xf>
    <xf numFmtId="2" fontId="1" fillId="0" borderId="0" xfId="0" applyNumberFormat="1" applyFont="1" applyAlignment="1">
      <alignment horizontal="center" vertical="center"/>
    </xf>
    <xf numFmtId="0" fontId="1" fillId="3" borderId="88" xfId="0" applyFont="1" applyFill="1" applyBorder="1" applyAlignment="1">
      <alignment horizontal="center" vertical="center" wrapText="1"/>
    </xf>
    <xf numFmtId="2" fontId="0" fillId="0" borderId="0" xfId="0" applyNumberFormat="1" applyAlignment="1">
      <alignment horizontal="center" vertical="center"/>
    </xf>
    <xf numFmtId="0" fontId="50" fillId="0" borderId="0" xfId="0" applyFont="1" applyAlignment="1">
      <alignment vertical="center" wrapText="1"/>
    </xf>
    <xf numFmtId="14" fontId="19" fillId="0" borderId="66" xfId="0" applyNumberFormat="1" applyFont="1" applyBorder="1" applyAlignment="1">
      <alignment horizontal="center" vertical="center" wrapText="1"/>
    </xf>
    <xf numFmtId="14" fontId="19" fillId="0" borderId="67" xfId="0" applyNumberFormat="1" applyFont="1" applyBorder="1" applyAlignment="1">
      <alignment horizontal="center" vertical="center" wrapText="1"/>
    </xf>
    <xf numFmtId="14" fontId="19" fillId="0" borderId="76" xfId="0" applyNumberFormat="1" applyFont="1" applyBorder="1" applyAlignment="1">
      <alignment horizontal="center" vertical="center" wrapText="1"/>
    </xf>
    <xf numFmtId="14" fontId="19" fillId="0" borderId="43" xfId="0" applyNumberFormat="1" applyFont="1" applyBorder="1" applyAlignment="1">
      <alignment horizontal="center" vertical="center" wrapText="1"/>
    </xf>
    <xf numFmtId="0" fontId="0" fillId="0" borderId="54" xfId="0" applyBorder="1" applyAlignment="1">
      <alignment horizontal="center" vertical="center" wrapText="1"/>
    </xf>
    <xf numFmtId="0" fontId="0" fillId="0" borderId="45" xfId="0" applyBorder="1" applyAlignment="1">
      <alignment horizontal="center" vertical="center" wrapText="1"/>
    </xf>
    <xf numFmtId="0" fontId="0" fillId="0" borderId="77" xfId="0" applyBorder="1" applyAlignment="1">
      <alignment horizontal="center" vertical="center" wrapText="1"/>
    </xf>
    <xf numFmtId="0" fontId="0" fillId="0" borderId="10" xfId="0" applyBorder="1" applyAlignment="1">
      <alignment horizontal="center" vertical="center" wrapText="1"/>
    </xf>
    <xf numFmtId="4" fontId="18" fillId="3" borderId="11" xfId="0" applyNumberFormat="1" applyFont="1" applyFill="1" applyBorder="1" applyAlignment="1">
      <alignment horizontal="center" vertical="center"/>
    </xf>
    <xf numFmtId="4" fontId="18" fillId="3" borderId="45" xfId="0" applyNumberFormat="1" applyFont="1" applyFill="1" applyBorder="1" applyAlignment="1">
      <alignment horizontal="center" vertical="center"/>
    </xf>
    <xf numFmtId="0" fontId="51" fillId="3" borderId="11" xfId="0" applyFont="1" applyFill="1" applyBorder="1" applyAlignment="1">
      <alignment horizontal="center" vertical="center"/>
    </xf>
    <xf numFmtId="0" fontId="18" fillId="3" borderId="9" xfId="0" applyFont="1" applyFill="1" applyBorder="1" applyAlignment="1">
      <alignment horizontal="center"/>
    </xf>
    <xf numFmtId="0" fontId="18" fillId="3" borderId="34" xfId="0" applyFont="1" applyFill="1" applyBorder="1" applyAlignment="1">
      <alignment horizontal="center"/>
    </xf>
    <xf numFmtId="0" fontId="18" fillId="0" borderId="116" xfId="0" applyFont="1" applyBorder="1" applyAlignment="1">
      <alignment horizontal="center" vertical="center" wrapText="1"/>
    </xf>
    <xf numFmtId="0" fontId="0" fillId="0" borderId="118" xfId="0" applyBorder="1" applyAlignment="1">
      <alignment horizontal="left" vertical="center" wrapText="1"/>
    </xf>
    <xf numFmtId="0" fontId="0" fillId="0" borderId="87" xfId="0" applyBorder="1" applyAlignment="1">
      <alignment horizontal="left" vertical="center" wrapText="1"/>
    </xf>
    <xf numFmtId="0" fontId="0" fillId="0" borderId="79" xfId="0" applyBorder="1" applyAlignment="1">
      <alignment horizontal="left" vertical="center" wrapText="1"/>
    </xf>
    <xf numFmtId="0" fontId="1" fillId="3" borderId="118" xfId="0" applyFont="1" applyFill="1" applyBorder="1" applyAlignment="1">
      <alignment horizontal="center" vertical="center" wrapText="1"/>
    </xf>
    <xf numFmtId="0" fontId="1" fillId="0" borderId="83" xfId="0" applyFont="1" applyBorder="1" applyAlignment="1">
      <alignment horizontal="left"/>
    </xf>
    <xf numFmtId="0" fontId="1" fillId="0" borderId="73" xfId="0" applyFont="1" applyBorder="1" applyAlignment="1">
      <alignment horizontal="left"/>
    </xf>
    <xf numFmtId="0" fontId="1" fillId="0" borderId="67" xfId="0" applyFont="1" applyBorder="1" applyAlignment="1">
      <alignment horizontal="left"/>
    </xf>
    <xf numFmtId="0" fontId="1" fillId="0" borderId="47" xfId="0" applyFont="1" applyBorder="1" applyAlignment="1">
      <alignment horizontal="left"/>
    </xf>
    <xf numFmtId="0" fontId="1" fillId="0" borderId="43" xfId="0" applyFont="1" applyBorder="1" applyAlignment="1">
      <alignment horizontal="left" vertical="center" wrapText="1" indent="1"/>
    </xf>
    <xf numFmtId="0" fontId="1" fillId="0" borderId="79" xfId="0" applyFont="1" applyBorder="1" applyAlignment="1">
      <alignment horizontal="left" vertical="center" wrapText="1" indent="1"/>
    </xf>
    <xf numFmtId="0" fontId="1" fillId="0" borderId="87" xfId="0" applyFont="1" applyBorder="1" applyAlignment="1">
      <alignment horizontal="left" vertical="center" wrapText="1" indent="1"/>
    </xf>
    <xf numFmtId="0" fontId="1" fillId="3" borderId="87" xfId="0" applyFont="1" applyFill="1" applyBorder="1" applyAlignment="1">
      <alignment horizontal="center" vertical="center"/>
    </xf>
    <xf numFmtId="0" fontId="1" fillId="3" borderId="103" xfId="0" applyFont="1" applyFill="1" applyBorder="1" applyAlignment="1">
      <alignment horizontal="center" vertical="center"/>
    </xf>
    <xf numFmtId="2" fontId="0" fillId="0" borderId="103" xfId="0" applyNumberFormat="1" applyBorder="1" applyAlignment="1">
      <alignment horizontal="left" vertical="center" wrapText="1"/>
    </xf>
    <xf numFmtId="2" fontId="1" fillId="3" borderId="89"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0" fillId="0" borderId="93" xfId="0" applyNumberFormat="1" applyBorder="1"/>
    <xf numFmtId="2" fontId="0" fillId="0" borderId="94" xfId="0" applyNumberFormat="1" applyBorder="1"/>
    <xf numFmtId="2" fontId="0" fillId="0" borderId="95" xfId="0" applyNumberFormat="1" applyBorder="1"/>
    <xf numFmtId="2" fontId="0" fillId="0" borderId="28" xfId="0" applyNumberFormat="1" applyBorder="1"/>
    <xf numFmtId="2" fontId="0" fillId="0" borderId="42" xfId="0" applyNumberFormat="1" applyBorder="1"/>
    <xf numFmtId="0" fontId="54" fillId="3" borderId="66" xfId="0" applyFont="1" applyFill="1" applyBorder="1" applyAlignment="1">
      <alignment horizontal="center" vertical="center" wrapText="1"/>
    </xf>
    <xf numFmtId="0" fontId="54" fillId="3" borderId="54" xfId="0" applyFont="1" applyFill="1" applyBorder="1" applyAlignment="1">
      <alignment horizontal="center" vertical="center" wrapText="1"/>
    </xf>
    <xf numFmtId="0" fontId="54" fillId="3" borderId="55" xfId="0" applyFont="1" applyFill="1" applyBorder="1" applyAlignment="1">
      <alignment horizontal="center" vertical="center" wrapText="1"/>
    </xf>
    <xf numFmtId="0" fontId="54" fillId="0" borderId="43" xfId="0" applyFont="1" applyBorder="1" applyAlignment="1">
      <alignment horizontal="center" vertical="center" wrapText="1"/>
    </xf>
    <xf numFmtId="0" fontId="54" fillId="0" borderId="77" xfId="0" applyFont="1" applyBorder="1" applyAlignment="1">
      <alignment horizontal="center" vertical="center" wrapText="1"/>
    </xf>
    <xf numFmtId="2" fontId="54" fillId="3" borderId="77" xfId="0" applyNumberFormat="1" applyFont="1" applyFill="1" applyBorder="1" applyAlignment="1">
      <alignment horizontal="center" vertical="center" wrapText="1"/>
    </xf>
    <xf numFmtId="166" fontId="54" fillId="0" borderId="77" xfId="0" applyNumberFormat="1" applyFont="1" applyBorder="1" applyAlignment="1">
      <alignment horizontal="center" vertical="center" wrapText="1"/>
    </xf>
    <xf numFmtId="1" fontId="54" fillId="3" borderId="44" xfId="0" applyNumberFormat="1" applyFont="1" applyFill="1" applyBorder="1" applyAlignment="1">
      <alignment horizontal="center" vertical="center" wrapText="1"/>
    </xf>
    <xf numFmtId="0" fontId="33" fillId="0" borderId="0" xfId="1"/>
    <xf numFmtId="0" fontId="33" fillId="0" borderId="0" xfId="1" applyAlignment="1">
      <alignment horizontal="lef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3" borderId="0" xfId="0" applyFill="1" applyAlignment="1">
      <alignment horizontal="left"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 xfId="0" applyFont="1" applyBorder="1" applyAlignment="1">
      <alignment horizontal="right" vertical="center" wrapText="1"/>
    </xf>
    <xf numFmtId="0" fontId="1" fillId="0" borderId="1" xfId="0" applyFont="1" applyBorder="1"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0" xfId="0" applyFont="1" applyFill="1" applyAlignment="1">
      <alignment horizontal="center" vertical="center" wrapText="1"/>
    </xf>
    <xf numFmtId="0" fontId="0" fillId="0" borderId="2" xfId="0" applyBorder="1" applyAlignment="1">
      <alignment horizontal="left"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1" fillId="2" borderId="0" xfId="0" applyFont="1" applyFill="1" applyAlignment="1">
      <alignment horizontal="center" vertical="center" wrapText="1"/>
    </xf>
    <xf numFmtId="0" fontId="0" fillId="3" borderId="0" xfId="0" applyFill="1" applyAlignment="1">
      <alignment horizontal="center" vertical="center" wrapText="1"/>
    </xf>
    <xf numFmtId="0" fontId="0" fillId="0" borderId="3" xfId="0" applyBorder="1" applyAlignment="1">
      <alignment horizontal="left" vertical="center" wrapText="1"/>
    </xf>
    <xf numFmtId="0" fontId="18" fillId="3" borderId="0" xfId="0" applyFont="1" applyFill="1" applyAlignment="1">
      <alignment horizontal="left" vertical="center" wrapText="1"/>
    </xf>
    <xf numFmtId="0" fontId="1" fillId="2" borderId="0" xfId="0" applyFont="1" applyFill="1" applyAlignment="1">
      <alignment horizontal="left" vertical="center" wrapText="1"/>
    </xf>
    <xf numFmtId="0" fontId="18" fillId="0" borderId="2" xfId="0" applyFont="1" applyBorder="1" applyAlignment="1">
      <alignment horizontal="left" vertical="center" wrapText="1"/>
    </xf>
    <xf numFmtId="0" fontId="18" fillId="0" borderId="0" xfId="0" applyFont="1" applyAlignment="1">
      <alignment horizontal="left" vertical="center" wrapText="1"/>
    </xf>
    <xf numFmtId="0" fontId="1" fillId="2" borderId="3" xfId="0" applyFont="1" applyFill="1" applyBorder="1" applyAlignment="1">
      <alignment horizontal="center" vertical="center" wrapText="1"/>
    </xf>
    <xf numFmtId="0" fontId="18" fillId="0" borderId="3" xfId="0" applyFont="1" applyBorder="1" applyAlignment="1">
      <alignment horizontal="left" vertical="center" wrapText="1"/>
    </xf>
    <xf numFmtId="0" fontId="22" fillId="3" borderId="48"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24"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9" xfId="0" applyFont="1" applyFill="1" applyBorder="1" applyAlignment="1">
      <alignment horizontal="center" vertical="center" wrapText="1"/>
    </xf>
    <xf numFmtId="49" fontId="22" fillId="3" borderId="4" xfId="0" applyNumberFormat="1" applyFont="1" applyFill="1" applyBorder="1" applyAlignment="1">
      <alignment horizontal="center" vertical="center" wrapText="1"/>
    </xf>
    <xf numFmtId="49" fontId="22" fillId="3" borderId="7" xfId="0" applyNumberFormat="1" applyFont="1" applyFill="1" applyBorder="1" applyAlignment="1">
      <alignment horizontal="center" vertical="center" wrapText="1"/>
    </xf>
    <xf numFmtId="49" fontId="22" fillId="3" borderId="9" xfId="0" applyNumberFormat="1" applyFont="1" applyFill="1" applyBorder="1" applyAlignment="1">
      <alignment horizontal="center" vertical="center" wrapText="1"/>
    </xf>
    <xf numFmtId="49" fontId="22" fillId="3" borderId="36" xfId="0" applyNumberFormat="1" applyFont="1" applyFill="1" applyBorder="1" applyAlignment="1">
      <alignment horizontal="center" vertical="center" wrapText="1"/>
    </xf>
    <xf numFmtId="49" fontId="22" fillId="3" borderId="51" xfId="0" applyNumberFormat="1" applyFont="1" applyFill="1" applyBorder="1" applyAlignment="1">
      <alignment horizontal="center" vertical="center" wrapText="1"/>
    </xf>
    <xf numFmtId="49" fontId="22" fillId="3" borderId="41" xfId="0" applyNumberFormat="1" applyFont="1" applyFill="1" applyBorder="1" applyAlignment="1">
      <alignment horizontal="center" vertical="center" wrapText="1"/>
    </xf>
    <xf numFmtId="49" fontId="22" fillId="3" borderId="0" xfId="0" applyNumberFormat="1" applyFont="1" applyFill="1" applyAlignment="1">
      <alignment horizontal="center" vertical="center" wrapText="1"/>
    </xf>
    <xf numFmtId="49" fontId="22" fillId="3" borderId="24" xfId="0" applyNumberFormat="1" applyFont="1" applyFill="1" applyBorder="1" applyAlignment="1">
      <alignment horizontal="center" vertical="center" wrapText="1"/>
    </xf>
    <xf numFmtId="0" fontId="17" fillId="0" borderId="0" xfId="0" applyFont="1" applyAlignment="1">
      <alignment horizontal="left"/>
    </xf>
    <xf numFmtId="0" fontId="22" fillId="3" borderId="35" xfId="0" applyFont="1" applyFill="1" applyBorder="1" applyAlignment="1">
      <alignment horizontal="center" vertical="center" wrapText="1"/>
    </xf>
    <xf numFmtId="0" fontId="22" fillId="3" borderId="22" xfId="0" applyFont="1" applyFill="1" applyBorder="1" applyAlignment="1">
      <alignment horizontal="center" vertical="center" wrapText="1"/>
    </xf>
    <xf numFmtId="0" fontId="22" fillId="3" borderId="4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7" fillId="0" borderId="0" xfId="0" applyFont="1" applyAlignment="1">
      <alignment horizontal="center"/>
    </xf>
    <xf numFmtId="0" fontId="0" fillId="0" borderId="0" xfId="0" applyAlignment="1">
      <alignment horizontal="left" vertical="center" wrapText="1"/>
    </xf>
    <xf numFmtId="0" fontId="1" fillId="3" borderId="27"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39"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31"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38" xfId="0" applyFont="1" applyFill="1" applyBorder="1" applyAlignment="1">
      <alignment horizontal="center" vertical="center" wrapText="1"/>
    </xf>
    <xf numFmtId="0" fontId="0" fillId="3" borderId="38" xfId="0" applyFill="1" applyBorder="1" applyAlignment="1">
      <alignment horizontal="center" vertical="center" wrapText="1"/>
    </xf>
    <xf numFmtId="0" fontId="22" fillId="3" borderId="28" xfId="0" applyFont="1" applyFill="1" applyBorder="1" applyAlignment="1">
      <alignment horizontal="center" vertical="center" wrapText="1"/>
    </xf>
    <xf numFmtId="0" fontId="22" fillId="3" borderId="30" xfId="0" applyFont="1" applyFill="1" applyBorder="1" applyAlignment="1">
      <alignment horizontal="center" vertical="center" wrapText="1"/>
    </xf>
    <xf numFmtId="0" fontId="1" fillId="3" borderId="83" xfId="0" applyFont="1" applyFill="1" applyBorder="1" applyAlignment="1">
      <alignment horizontal="center" vertical="center" wrapText="1"/>
    </xf>
    <xf numFmtId="0" fontId="1" fillId="3" borderId="76" xfId="0" applyFont="1" applyFill="1" applyBorder="1" applyAlignment="1">
      <alignment horizontal="center" vertical="center" wrapText="1"/>
    </xf>
    <xf numFmtId="0" fontId="1" fillId="3" borderId="84" xfId="0" applyFont="1" applyFill="1" applyBorder="1" applyAlignment="1">
      <alignment horizontal="center" vertical="center" wrapText="1"/>
    </xf>
    <xf numFmtId="0" fontId="1" fillId="3" borderId="57" xfId="0" applyFont="1" applyFill="1" applyBorder="1" applyAlignment="1">
      <alignment horizontal="center" vertical="center" wrapText="1"/>
    </xf>
    <xf numFmtId="0" fontId="1" fillId="3" borderId="36" xfId="0" applyFont="1" applyFill="1" applyBorder="1" applyAlignment="1">
      <alignment horizontal="center" vertical="center" wrapText="1"/>
    </xf>
    <xf numFmtId="0" fontId="1" fillId="3" borderId="41" xfId="0" applyFont="1" applyFill="1" applyBorder="1" applyAlignment="1">
      <alignment horizontal="center" vertical="center" wrapText="1"/>
    </xf>
    <xf numFmtId="0" fontId="1" fillId="3" borderId="35"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42"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48"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8" fillId="0" borderId="0" xfId="0" applyFont="1" applyAlignment="1">
      <alignment horizontal="right" vertical="center" wrapText="1"/>
    </xf>
    <xf numFmtId="0" fontId="0" fillId="0" borderId="0" xfId="0" applyAlignment="1">
      <alignment horizontal="center" vertical="center"/>
    </xf>
    <xf numFmtId="0" fontId="0" fillId="0" borderId="0" xfId="0" applyAlignment="1">
      <alignment horizontal="justify" wrapText="1"/>
    </xf>
    <xf numFmtId="0" fontId="0" fillId="0" borderId="51" xfId="0" applyBorder="1" applyAlignment="1">
      <alignment horizontal="justify" wrapText="1"/>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1" fillId="3" borderId="7" xfId="0" applyFont="1" applyFill="1" applyBorder="1" applyAlignment="1">
      <alignment horizontal="center" vertical="center" wrapText="1"/>
    </xf>
    <xf numFmtId="0" fontId="1" fillId="3" borderId="93" xfId="0" applyFont="1" applyFill="1" applyBorder="1" applyAlignment="1">
      <alignment horizontal="center" vertical="center" wrapText="1"/>
    </xf>
    <xf numFmtId="0" fontId="1" fillId="3" borderId="9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34" xfId="0" applyFont="1" applyFill="1" applyBorder="1" applyAlignment="1">
      <alignment horizontal="center" vertical="center" wrapText="1"/>
    </xf>
    <xf numFmtId="0" fontId="1" fillId="3" borderId="72" xfId="0" applyFont="1" applyFill="1" applyBorder="1" applyAlignment="1">
      <alignment horizontal="center" vertical="center" wrapText="1"/>
    </xf>
    <xf numFmtId="0" fontId="1" fillId="3" borderId="82" xfId="0" applyFont="1" applyFill="1" applyBorder="1" applyAlignment="1">
      <alignment horizontal="center" vertical="center" wrapText="1"/>
    </xf>
    <xf numFmtId="0" fontId="20" fillId="0" borderId="0" xfId="0" applyFont="1" applyAlignment="1">
      <alignment horizontal="center" vertical="center" wrapText="1"/>
    </xf>
    <xf numFmtId="0" fontId="0" fillId="0" borderId="46" xfId="0" applyBorder="1" applyAlignment="1">
      <alignment horizontal="left" vertical="center" wrapText="1"/>
    </xf>
    <xf numFmtId="0" fontId="0" fillId="0" borderId="2" xfId="0" applyBorder="1" applyAlignment="1">
      <alignment vertical="center"/>
    </xf>
    <xf numFmtId="0" fontId="0" fillId="0" borderId="47" xfId="0" applyBorder="1" applyAlignment="1">
      <alignment vertical="center"/>
    </xf>
    <xf numFmtId="0" fontId="1" fillId="3" borderId="95" xfId="0" applyFont="1" applyFill="1" applyBorder="1" applyAlignment="1">
      <alignment horizontal="center" vertical="center" wrapText="1"/>
    </xf>
    <xf numFmtId="0" fontId="0" fillId="0" borderId="114" xfId="0" applyBorder="1" applyAlignment="1">
      <alignment horizontal="left" vertical="center" wrapText="1"/>
    </xf>
    <xf numFmtId="0" fontId="0" fillId="0" borderId="46" xfId="0" applyBorder="1" applyAlignment="1">
      <alignment horizontal="center"/>
    </xf>
    <xf numFmtId="0" fontId="0" fillId="0" borderId="47" xfId="0" applyBorder="1" applyAlignment="1">
      <alignment horizont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1" fillId="0" borderId="0" xfId="0" applyFont="1" applyAlignment="1">
      <alignment horizontal="left" vertical="center" wrapText="1"/>
    </xf>
    <xf numFmtId="0" fontId="0" fillId="0" borderId="43" xfId="0" applyBorder="1" applyAlignment="1">
      <alignment horizontal="left"/>
    </xf>
    <xf numFmtId="0" fontId="0" fillId="0" borderId="77" xfId="0" applyBorder="1" applyAlignment="1">
      <alignment horizontal="left"/>
    </xf>
    <xf numFmtId="0" fontId="0" fillId="0" borderId="81" xfId="0" applyBorder="1" applyAlignment="1">
      <alignment horizontal="left"/>
    </xf>
    <xf numFmtId="165" fontId="0" fillId="0" borderId="66" xfId="0" applyNumberFormat="1" applyBorder="1" applyAlignment="1">
      <alignment horizontal="left" vertical="top"/>
    </xf>
    <xf numFmtId="165" fontId="0" fillId="0" borderId="54" xfId="0" applyNumberFormat="1" applyBorder="1" applyAlignment="1">
      <alignment horizontal="left" vertical="top"/>
    </xf>
    <xf numFmtId="165" fontId="0" fillId="0" borderId="55" xfId="0" applyNumberFormat="1" applyBorder="1" applyAlignment="1">
      <alignment horizontal="left" vertical="top"/>
    </xf>
    <xf numFmtId="165" fontId="0" fillId="0" borderId="43" xfId="0" applyNumberFormat="1" applyBorder="1" applyAlignment="1">
      <alignment horizontal="left" vertical="top"/>
    </xf>
    <xf numFmtId="165" fontId="0" fillId="0" borderId="77" xfId="0" applyNumberFormat="1" applyBorder="1" applyAlignment="1">
      <alignment horizontal="left" vertical="top"/>
    </xf>
    <xf numFmtId="165" fontId="0" fillId="0" borderId="44" xfId="0" applyNumberFormat="1" applyBorder="1" applyAlignment="1">
      <alignment horizontal="left" vertical="top"/>
    </xf>
    <xf numFmtId="0" fontId="1" fillId="3" borderId="49" xfId="0" applyFont="1" applyFill="1" applyBorder="1" applyAlignment="1">
      <alignment horizontal="center" vertical="center"/>
    </xf>
    <xf numFmtId="0" fontId="1" fillId="3" borderId="70" xfId="0" applyFont="1" applyFill="1" applyBorder="1" applyAlignment="1">
      <alignment horizontal="center" vertical="center"/>
    </xf>
    <xf numFmtId="0" fontId="1" fillId="3" borderId="50" xfId="0" applyFont="1" applyFill="1" applyBorder="1" applyAlignment="1">
      <alignment horizontal="center" vertical="center"/>
    </xf>
    <xf numFmtId="165" fontId="0" fillId="0" borderId="83" xfId="0" applyNumberFormat="1" applyBorder="1" applyAlignment="1">
      <alignment horizontal="left" vertical="center"/>
    </xf>
    <xf numFmtId="165" fontId="0" fillId="0" borderId="10" xfId="0" applyNumberFormat="1" applyBorder="1" applyAlignment="1">
      <alignment horizontal="left" vertical="center"/>
    </xf>
    <xf numFmtId="165" fontId="0" fillId="0" borderId="69" xfId="0" applyNumberFormat="1" applyBorder="1" applyAlignment="1">
      <alignment horizontal="left" vertical="center"/>
    </xf>
    <xf numFmtId="0" fontId="12" fillId="0" borderId="46" xfId="0" applyFont="1" applyBorder="1" applyAlignment="1">
      <alignment horizontal="center" vertical="center"/>
    </xf>
    <xf numFmtId="0" fontId="12" fillId="0" borderId="47" xfId="0" applyFont="1" applyBorder="1" applyAlignment="1">
      <alignment horizontal="center" vertical="center"/>
    </xf>
    <xf numFmtId="0" fontId="0" fillId="0" borderId="0" xfId="0" applyAlignment="1">
      <alignment horizontal="left"/>
    </xf>
    <xf numFmtId="165" fontId="0" fillId="0" borderId="28" xfId="0" applyNumberFormat="1" applyBorder="1" applyAlignment="1">
      <alignment horizontal="left" vertical="center"/>
    </xf>
    <xf numFmtId="165" fontId="0" fillId="0" borderId="29" xfId="0" applyNumberFormat="1" applyBorder="1" applyAlignment="1">
      <alignment horizontal="left" vertical="center"/>
    </xf>
    <xf numFmtId="165" fontId="0" fillId="0" borderId="30" xfId="0" applyNumberFormat="1" applyBorder="1" applyAlignment="1">
      <alignment horizontal="left" vertical="center"/>
    </xf>
    <xf numFmtId="0" fontId="1" fillId="3" borderId="49" xfId="0" applyFont="1" applyFill="1" applyBorder="1" applyAlignment="1">
      <alignment horizontal="center" vertical="center" wrapText="1"/>
    </xf>
    <xf numFmtId="0" fontId="1" fillId="3" borderId="50" xfId="0" applyFont="1" applyFill="1" applyBorder="1" applyAlignment="1">
      <alignment horizontal="center" vertical="center" wrapText="1"/>
    </xf>
    <xf numFmtId="0" fontId="22" fillId="0" borderId="24" xfId="0" applyFont="1" applyBorder="1" applyAlignment="1">
      <alignment horizontal="center" vertical="center"/>
    </xf>
    <xf numFmtId="0" fontId="1" fillId="3" borderId="95" xfId="0" applyFont="1" applyFill="1" applyBorder="1" applyAlignment="1">
      <alignment horizontal="justify" vertical="center"/>
    </xf>
    <xf numFmtId="0" fontId="1" fillId="3" borderId="79" xfId="0" applyFont="1" applyFill="1" applyBorder="1" applyAlignment="1">
      <alignment horizontal="justify" vertical="center"/>
    </xf>
    <xf numFmtId="0" fontId="0" fillId="3" borderId="81" xfId="0" applyFill="1" applyBorder="1" applyAlignment="1">
      <alignment horizontal="center" vertical="center"/>
    </xf>
    <xf numFmtId="0" fontId="0" fillId="3" borderId="86" xfId="0" applyFill="1" applyBorder="1" applyAlignment="1">
      <alignment horizontal="center" vertical="center"/>
    </xf>
    <xf numFmtId="0" fontId="0" fillId="3" borderId="82" xfId="0" applyFill="1" applyBorder="1" applyAlignment="1">
      <alignment horizontal="center" vertical="center"/>
    </xf>
    <xf numFmtId="0" fontId="1" fillId="3" borderId="119" xfId="0" applyFont="1" applyFill="1" applyBorder="1" applyAlignment="1">
      <alignment horizontal="center" vertical="center" wrapText="1"/>
    </xf>
    <xf numFmtId="0" fontId="0" fillId="0" borderId="11" xfId="0" applyBorder="1" applyAlignment="1">
      <alignment horizontal="center"/>
    </xf>
    <xf numFmtId="0" fontId="0" fillId="0" borderId="75" xfId="0" applyBorder="1" applyAlignment="1">
      <alignment horizontal="center" vertical="center" wrapText="1"/>
    </xf>
    <xf numFmtId="0" fontId="22" fillId="0" borderId="0" xfId="0" applyFont="1" applyAlignment="1">
      <alignment horizontal="justify" vertical="center" wrapText="1"/>
    </xf>
    <xf numFmtId="165" fontId="17" fillId="0" borderId="0" xfId="0" applyNumberFormat="1" applyFont="1" applyAlignment="1">
      <alignment horizontal="left" vertical="center"/>
    </xf>
    <xf numFmtId="0" fontId="1" fillId="3" borderId="4" xfId="0" applyFont="1" applyFill="1" applyBorder="1" applyAlignment="1">
      <alignment horizontal="center" vertical="center"/>
    </xf>
    <xf numFmtId="0" fontId="1" fillId="3" borderId="7" xfId="0" applyFont="1" applyFill="1" applyBorder="1" applyAlignment="1">
      <alignment horizontal="center" vertical="center"/>
    </xf>
    <xf numFmtId="0" fontId="1" fillId="0" borderId="66"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Border="1" applyAlignment="1">
      <alignment horizontal="center" vertical="center"/>
    </xf>
    <xf numFmtId="0" fontId="1" fillId="0" borderId="0" xfId="0" applyFont="1" applyAlignment="1">
      <alignment horizontal="left"/>
    </xf>
    <xf numFmtId="0" fontId="18" fillId="0" borderId="0" xfId="0" applyFont="1" applyAlignment="1">
      <alignment horizontal="right"/>
    </xf>
    <xf numFmtId="0" fontId="1" fillId="0" borderId="22" xfId="0" applyFont="1" applyBorder="1" applyAlignment="1">
      <alignment horizontal="center"/>
    </xf>
    <xf numFmtId="0" fontId="1" fillId="0" borderId="0" xfId="0" applyFont="1" applyAlignment="1">
      <alignment horizontal="center"/>
    </xf>
    <xf numFmtId="0" fontId="26" fillId="0" borderId="22" xfId="0" applyFont="1" applyBorder="1" applyAlignment="1">
      <alignment horizontal="center" vertical="center" wrapText="1"/>
    </xf>
    <xf numFmtId="0" fontId="49" fillId="0" borderId="22" xfId="0" applyFont="1" applyBorder="1" applyAlignment="1">
      <alignment horizontal="center" vertical="center" wrapText="1"/>
    </xf>
    <xf numFmtId="0" fontId="22" fillId="0" borderId="0" xfId="0" applyFont="1" applyAlignment="1">
      <alignment horizontal="left"/>
    </xf>
    <xf numFmtId="0" fontId="1" fillId="0" borderId="51" xfId="0" applyFont="1" applyBorder="1" applyAlignment="1">
      <alignment horizontal="left"/>
    </xf>
    <xf numFmtId="0" fontId="1" fillId="0" borderId="0" xfId="0" applyFont="1" applyAlignment="1">
      <alignment horizontal="left" vertical="center"/>
    </xf>
    <xf numFmtId="0" fontId="1" fillId="0" borderId="51" xfId="0" applyFont="1" applyBorder="1" applyAlignment="1">
      <alignment horizontal="left" vertical="center"/>
    </xf>
    <xf numFmtId="0" fontId="1" fillId="0" borderId="0" xfId="0" applyFont="1" applyAlignment="1">
      <alignment horizontal="left" wrapText="1"/>
    </xf>
    <xf numFmtId="0" fontId="0" fillId="0" borderId="114" xfId="0" applyBorder="1" applyAlignment="1">
      <alignment horizontal="center" vertical="center" wrapText="1"/>
    </xf>
    <xf numFmtId="0" fontId="0" fillId="0" borderId="0" xfId="0" applyAlignment="1">
      <alignment horizontal="center" vertical="center" wrapText="1"/>
    </xf>
    <xf numFmtId="0" fontId="1" fillId="0" borderId="67" xfId="0" applyFont="1" applyBorder="1" applyAlignment="1">
      <alignment horizontal="left" vertical="center"/>
    </xf>
    <xf numFmtId="0" fontId="1" fillId="0" borderId="11" xfId="0" applyFont="1" applyBorder="1" applyAlignment="1">
      <alignment horizontal="left" vertical="center"/>
    </xf>
    <xf numFmtId="0" fontId="1" fillId="0" borderId="75" xfId="0" applyFont="1" applyBorder="1" applyAlignment="1">
      <alignment horizontal="left" vertical="center"/>
    </xf>
    <xf numFmtId="0" fontId="1" fillId="0" borderId="43" xfId="0" applyFont="1" applyBorder="1" applyAlignment="1">
      <alignment horizontal="left" vertical="center"/>
    </xf>
    <xf numFmtId="0" fontId="1" fillId="0" borderId="77" xfId="0" applyFont="1" applyBorder="1" applyAlignment="1">
      <alignment horizontal="left" vertical="center"/>
    </xf>
    <xf numFmtId="0" fontId="1" fillId="0" borderId="44" xfId="0" applyFont="1" applyBorder="1" applyAlignment="1">
      <alignment horizontal="left" vertical="center"/>
    </xf>
    <xf numFmtId="0" fontId="22" fillId="0" borderId="67" xfId="0" applyFont="1" applyBorder="1" applyAlignment="1">
      <alignment horizontal="left" vertical="center"/>
    </xf>
    <xf numFmtId="0" fontId="22" fillId="0" borderId="11" xfId="0" applyFont="1" applyBorder="1" applyAlignment="1">
      <alignment horizontal="left" vertical="center"/>
    </xf>
    <xf numFmtId="0" fontId="22" fillId="0" borderId="75" xfId="0" applyFont="1" applyBorder="1" applyAlignment="1">
      <alignment horizontal="left" vertical="center"/>
    </xf>
    <xf numFmtId="0" fontId="1" fillId="0" borderId="67" xfId="0" applyFont="1" applyBorder="1" applyAlignment="1">
      <alignment horizontal="left"/>
    </xf>
    <xf numFmtId="0" fontId="1" fillId="0" borderId="11" xfId="0" applyFont="1" applyBorder="1" applyAlignment="1">
      <alignment horizontal="left"/>
    </xf>
    <xf numFmtId="0" fontId="1" fillId="0" borderId="75" xfId="0" applyFont="1" applyBorder="1" applyAlignment="1">
      <alignment horizontal="left"/>
    </xf>
    <xf numFmtId="0" fontId="1" fillId="0" borderId="67" xfId="0" applyFont="1" applyBorder="1" applyAlignment="1">
      <alignment horizontal="left" vertical="center" wrapText="1"/>
    </xf>
    <xf numFmtId="0" fontId="1" fillId="0" borderId="11" xfId="0" applyFont="1" applyBorder="1" applyAlignment="1">
      <alignment horizontal="left" vertical="center" wrapText="1"/>
    </xf>
    <xf numFmtId="0" fontId="1" fillId="0" borderId="75" xfId="0" applyFont="1" applyBorder="1" applyAlignment="1">
      <alignment horizontal="left" vertical="center" wrapText="1"/>
    </xf>
    <xf numFmtId="0" fontId="1" fillId="3" borderId="66" xfId="0" applyFont="1" applyFill="1" applyBorder="1" applyAlignment="1">
      <alignment horizontal="right"/>
    </xf>
    <xf numFmtId="0" fontId="1" fillId="3" borderId="54" xfId="0" applyFont="1" applyFill="1" applyBorder="1" applyAlignment="1">
      <alignment horizontal="right"/>
    </xf>
    <xf numFmtId="0" fontId="1" fillId="3" borderId="55" xfId="0" applyFont="1" applyFill="1" applyBorder="1" applyAlignment="1">
      <alignment horizontal="right"/>
    </xf>
    <xf numFmtId="0" fontId="1" fillId="0" borderId="43" xfId="0" applyFont="1" applyBorder="1" applyAlignment="1">
      <alignment horizontal="right"/>
    </xf>
    <xf numFmtId="0" fontId="1" fillId="0" borderId="77" xfId="0" applyFont="1" applyBorder="1" applyAlignment="1">
      <alignment horizontal="right"/>
    </xf>
    <xf numFmtId="0" fontId="1" fillId="0" borderId="44" xfId="0" applyFont="1" applyBorder="1" applyAlignment="1">
      <alignment horizontal="right"/>
    </xf>
    <xf numFmtId="0" fontId="1" fillId="0" borderId="66" xfId="0" applyFont="1" applyBorder="1" applyAlignment="1">
      <alignment horizontal="left"/>
    </xf>
    <xf numFmtId="0" fontId="1" fillId="0" borderId="54" xfId="0" applyFont="1" applyBorder="1" applyAlignment="1">
      <alignment horizontal="left"/>
    </xf>
    <xf numFmtId="0" fontId="1" fillId="0" borderId="55" xfId="0" applyFont="1" applyBorder="1" applyAlignment="1">
      <alignment horizontal="left"/>
    </xf>
    <xf numFmtId="0" fontId="22" fillId="0" borderId="67" xfId="0" applyFont="1" applyBorder="1" applyAlignment="1">
      <alignment horizontal="left"/>
    </xf>
    <xf numFmtId="0" fontId="25" fillId="0" borderId="11" xfId="0" applyFont="1" applyBorder="1" applyAlignment="1">
      <alignment horizontal="left"/>
    </xf>
    <xf numFmtId="0" fontId="25" fillId="0" borderId="75" xfId="0" applyFont="1" applyBorder="1" applyAlignment="1">
      <alignment horizontal="left"/>
    </xf>
    <xf numFmtId="0" fontId="22" fillId="0" borderId="66" xfId="0" applyFont="1" applyBorder="1" applyAlignment="1">
      <alignment horizontal="left"/>
    </xf>
    <xf numFmtId="0" fontId="25" fillId="0" borderId="54" xfId="0" applyFont="1" applyBorder="1" applyAlignment="1">
      <alignment horizontal="left"/>
    </xf>
    <xf numFmtId="0" fontId="1" fillId="0" borderId="4" xfId="0" applyFont="1" applyBorder="1" applyAlignment="1">
      <alignment horizontal="center" vertical="top"/>
    </xf>
    <xf numFmtId="0" fontId="1" fillId="0" borderId="9" xfId="0" applyFont="1" applyBorder="1" applyAlignment="1">
      <alignment horizontal="center" vertical="top"/>
    </xf>
    <xf numFmtId="0" fontId="1" fillId="0" borderId="35" xfId="0" applyFont="1" applyBorder="1" applyAlignment="1">
      <alignment horizontal="center"/>
    </xf>
    <xf numFmtId="0" fontId="1" fillId="0" borderId="36" xfId="0" applyFont="1" applyBorder="1" applyAlignment="1">
      <alignment horizontal="center"/>
    </xf>
    <xf numFmtId="0" fontId="0" fillId="0" borderId="42" xfId="0" applyBorder="1" applyAlignment="1">
      <alignment horizontal="center"/>
    </xf>
    <xf numFmtId="0" fontId="0" fillId="0" borderId="41" xfId="0" applyBorder="1" applyAlignment="1">
      <alignment horizontal="center"/>
    </xf>
    <xf numFmtId="0" fontId="1" fillId="0" borderId="43" xfId="0" applyFont="1" applyBorder="1" applyAlignment="1">
      <alignment horizontal="left"/>
    </xf>
    <xf numFmtId="0" fontId="1" fillId="0" borderId="77" xfId="0" applyFont="1" applyBorder="1" applyAlignment="1">
      <alignment horizontal="left"/>
    </xf>
    <xf numFmtId="0" fontId="0" fillId="0" borderId="54" xfId="0" applyBorder="1" applyAlignment="1">
      <alignment horizontal="center"/>
    </xf>
    <xf numFmtId="0" fontId="0" fillId="0" borderId="55" xfId="0" applyBorder="1" applyAlignment="1">
      <alignment horizontal="center"/>
    </xf>
    <xf numFmtId="0" fontId="0" fillId="0" borderId="77" xfId="0" applyBorder="1" applyAlignment="1">
      <alignment horizontal="center"/>
    </xf>
    <xf numFmtId="0" fontId="0" fillId="0" borderId="44" xfId="0" applyBorder="1" applyAlignment="1">
      <alignment horizontal="center"/>
    </xf>
    <xf numFmtId="0" fontId="1" fillId="0" borderId="35" xfId="0" applyFont="1" applyBorder="1" applyAlignment="1">
      <alignment horizontal="center" vertical="top"/>
    </xf>
    <xf numFmtId="0" fontId="1" fillId="0" borderId="36" xfId="0" applyFont="1" applyBorder="1" applyAlignment="1">
      <alignment horizontal="center" vertical="top"/>
    </xf>
    <xf numFmtId="0" fontId="1" fillId="0" borderId="42" xfId="0" applyFont="1" applyBorder="1" applyAlignment="1">
      <alignment horizontal="center" vertical="top"/>
    </xf>
    <xf numFmtId="0" fontId="1" fillId="0" borderId="41" xfId="0" applyFont="1" applyBorder="1" applyAlignment="1">
      <alignment horizontal="center" vertical="top"/>
    </xf>
    <xf numFmtId="49" fontId="1" fillId="3" borderId="61" xfId="0" applyNumberFormat="1" applyFont="1" applyFill="1" applyBorder="1" applyAlignment="1">
      <alignment horizontal="center" vertical="center" wrapText="1"/>
    </xf>
    <xf numFmtId="49" fontId="1" fillId="3" borderId="32" xfId="0" applyNumberFormat="1" applyFont="1" applyFill="1" applyBorder="1" applyAlignment="1">
      <alignment horizontal="center" vertical="center" wrapText="1"/>
    </xf>
    <xf numFmtId="49" fontId="0" fillId="3" borderId="32" xfId="0" applyNumberFormat="1" applyFill="1" applyBorder="1" applyAlignment="1">
      <alignment horizontal="center" vertical="center" wrapText="1"/>
    </xf>
    <xf numFmtId="49" fontId="0" fillId="3" borderId="38" xfId="0" applyNumberFormat="1" applyFill="1" applyBorder="1" applyAlignment="1">
      <alignment horizontal="center" vertical="center" wrapText="1"/>
    </xf>
    <xf numFmtId="49" fontId="19" fillId="0" borderId="90" xfId="0" applyNumberFormat="1" applyFont="1" applyBorder="1" applyAlignment="1">
      <alignment horizontal="center" vertical="center" wrapText="1"/>
    </xf>
    <xf numFmtId="49" fontId="19" fillId="0" borderId="29" xfId="0" applyNumberFormat="1" applyFont="1" applyBorder="1" applyAlignment="1">
      <alignment horizontal="center" vertical="center" wrapText="1"/>
    </xf>
    <xf numFmtId="49" fontId="19" fillId="0" borderId="30" xfId="0" applyNumberFormat="1" applyFont="1" applyBorder="1" applyAlignment="1">
      <alignment horizontal="center" vertical="center" wrapText="1"/>
    </xf>
    <xf numFmtId="49" fontId="0" fillId="3" borderId="63" xfId="0" applyNumberFormat="1" applyFill="1" applyBorder="1" applyAlignment="1">
      <alignment horizontal="center" vertical="center" wrapText="1"/>
    </xf>
    <xf numFmtId="49" fontId="0" fillId="3" borderId="96" xfId="0" applyNumberFormat="1" applyFill="1" applyBorder="1" applyAlignment="1">
      <alignment horizontal="center" vertical="center" wrapText="1"/>
    </xf>
    <xf numFmtId="49" fontId="0" fillId="3" borderId="98" xfId="0" applyNumberFormat="1" applyFill="1" applyBorder="1" applyAlignment="1">
      <alignment horizontal="center" vertical="center" wrapText="1"/>
    </xf>
    <xf numFmtId="49" fontId="18" fillId="0" borderId="28" xfId="0" applyNumberFormat="1" applyFont="1" applyBorder="1" applyAlignment="1">
      <alignment horizontal="justify" vertical="center" wrapText="1"/>
    </xf>
    <xf numFmtId="49" fontId="18" fillId="0" borderId="29" xfId="0" applyNumberFormat="1" applyFont="1" applyBorder="1" applyAlignment="1">
      <alignment horizontal="justify" vertical="center" wrapText="1"/>
    </xf>
    <xf numFmtId="49" fontId="0" fillId="3" borderId="26" xfId="0" applyNumberFormat="1" applyFill="1" applyBorder="1" applyAlignment="1">
      <alignment horizontal="center" vertical="center" wrapText="1"/>
    </xf>
    <xf numFmtId="49" fontId="0" fillId="3" borderId="99" xfId="0" applyNumberFormat="1" applyFill="1" applyBorder="1" applyAlignment="1">
      <alignment horizontal="center" vertical="center" wrapText="1"/>
    </xf>
    <xf numFmtId="49" fontId="0" fillId="3" borderId="31" xfId="0" applyNumberFormat="1" applyFill="1" applyBorder="1" applyAlignment="1">
      <alignment horizontal="center" vertical="center" wrapText="1"/>
    </xf>
    <xf numFmtId="49" fontId="0" fillId="3" borderId="37" xfId="0" applyNumberFormat="1" applyFill="1" applyBorder="1" applyAlignment="1">
      <alignment horizontal="center" vertical="center" wrapText="1"/>
    </xf>
    <xf numFmtId="49" fontId="0" fillId="3" borderId="65" xfId="0" applyNumberFormat="1" applyFill="1" applyBorder="1" applyAlignment="1">
      <alignment horizontal="center" vertical="center" wrapText="1"/>
    </xf>
    <xf numFmtId="0" fontId="0" fillId="0" borderId="68" xfId="0" applyBorder="1" applyAlignment="1">
      <alignment horizontal="center" vertical="center" wrapText="1"/>
    </xf>
    <xf numFmtId="0" fontId="0" fillId="0" borderId="1" xfId="0" applyBorder="1" applyAlignment="1">
      <alignment horizontal="center" vertical="center" wrapText="1"/>
    </xf>
    <xf numFmtId="0" fontId="0" fillId="0" borderId="53" xfId="0" applyBorder="1" applyAlignment="1">
      <alignment horizontal="center" vertical="center" wrapText="1"/>
    </xf>
    <xf numFmtId="0" fontId="0" fillId="0" borderId="69" xfId="0" applyBorder="1" applyAlignment="1">
      <alignment horizontal="center" vertical="center" wrapText="1"/>
    </xf>
    <xf numFmtId="0" fontId="0" fillId="0" borderId="3" xfId="0" applyBorder="1" applyAlignment="1">
      <alignment horizontal="center" vertical="center" wrapText="1"/>
    </xf>
    <xf numFmtId="0" fontId="0" fillId="0" borderId="73" xfId="0" applyBorder="1" applyAlignment="1">
      <alignment horizontal="center" vertical="center" wrapText="1"/>
    </xf>
    <xf numFmtId="0" fontId="2" fillId="3" borderId="25"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7" xfId="0" applyFont="1" applyFill="1" applyBorder="1" applyAlignment="1">
      <alignment horizontal="center" vertical="center" wrapText="1"/>
    </xf>
    <xf numFmtId="0" fontId="2" fillId="3" borderId="115"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40" fillId="3" borderId="26" xfId="0" applyFont="1" applyFill="1" applyBorder="1" applyAlignment="1">
      <alignment horizontal="center" vertical="center" wrapText="1"/>
    </xf>
    <xf numFmtId="0" fontId="40" fillId="3" borderId="38" xfId="0" applyFont="1" applyFill="1" applyBorder="1" applyAlignment="1">
      <alignment horizontal="center" vertical="center" wrapText="1"/>
    </xf>
    <xf numFmtId="0" fontId="40" fillId="3" borderId="27" xfId="0" applyFont="1" applyFill="1" applyBorder="1" applyAlignment="1">
      <alignment horizontal="center" vertical="center" wrapText="1"/>
    </xf>
    <xf numFmtId="0" fontId="40" fillId="3" borderId="39" xfId="0" applyFont="1" applyFill="1" applyBorder="1" applyAlignment="1">
      <alignment horizontal="center" vertical="center" wrapText="1"/>
    </xf>
    <xf numFmtId="0" fontId="40" fillId="3" borderId="25"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horizontal="center" vertical="center" wrapText="1"/>
    </xf>
    <xf numFmtId="49" fontId="1" fillId="3" borderId="4"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0" fontId="0" fillId="3" borderId="104" xfId="0" applyFill="1" applyBorder="1" applyAlignment="1">
      <alignment horizontal="center" vertical="center" wrapText="1"/>
    </xf>
    <xf numFmtId="0" fontId="0" fillId="3" borderId="85" xfId="0" applyFill="1" applyBorder="1" applyAlignment="1">
      <alignment horizontal="center" vertical="center" wrapText="1"/>
    </xf>
    <xf numFmtId="0" fontId="0" fillId="3" borderId="70" xfId="0" applyFill="1" applyBorder="1" applyAlignment="1">
      <alignment horizontal="center" vertical="center" wrapText="1"/>
    </xf>
    <xf numFmtId="0" fontId="0" fillId="3" borderId="50" xfId="0" applyFill="1" applyBorder="1" applyAlignment="1">
      <alignment horizontal="center" vertical="center" wrapText="1"/>
    </xf>
    <xf numFmtId="0" fontId="0" fillId="3" borderId="54"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66" xfId="0" applyFill="1" applyBorder="1" applyAlignment="1">
      <alignment horizontal="center" vertical="center" wrapText="1"/>
    </xf>
    <xf numFmtId="0" fontId="0" fillId="3" borderId="76" xfId="0" applyFill="1" applyBorder="1" applyAlignment="1">
      <alignment horizontal="center" vertical="center" wrapText="1"/>
    </xf>
    <xf numFmtId="0" fontId="1" fillId="3" borderId="11" xfId="0" applyFont="1" applyFill="1" applyBorder="1" applyAlignment="1">
      <alignment horizontal="center" vertical="center"/>
    </xf>
    <xf numFmtId="0" fontId="1" fillId="3" borderId="54"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1" fillId="3" borderId="66" xfId="0" applyFont="1" applyFill="1" applyBorder="1" applyAlignment="1">
      <alignment horizontal="center" vertical="center" wrapText="1"/>
    </xf>
    <xf numFmtId="0" fontId="1" fillId="3" borderId="67" xfId="0" applyFont="1" applyFill="1" applyBorder="1" applyAlignment="1">
      <alignment horizontal="center" vertical="center" wrapText="1"/>
    </xf>
    <xf numFmtId="0" fontId="1" fillId="3" borderId="54" xfId="0" applyFont="1" applyFill="1" applyBorder="1" applyAlignment="1">
      <alignment horizontal="center" vertical="center"/>
    </xf>
    <xf numFmtId="0" fontId="22" fillId="3" borderId="54" xfId="0" applyFont="1" applyFill="1" applyBorder="1" applyAlignment="1">
      <alignment horizontal="center" vertical="center" wrapText="1"/>
    </xf>
    <xf numFmtId="0" fontId="22" fillId="3" borderId="55"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75" xfId="0" applyFont="1" applyFill="1" applyBorder="1" applyAlignment="1">
      <alignment horizontal="center" vertical="center" wrapText="1"/>
    </xf>
    <xf numFmtId="0" fontId="22" fillId="0" borderId="0" xfId="0" applyFont="1" applyAlignment="1">
      <alignment horizontal="center" vertical="center"/>
    </xf>
    <xf numFmtId="0" fontId="1" fillId="0" borderId="83" xfId="0" applyFont="1" applyBorder="1" applyAlignment="1">
      <alignment horizontal="left"/>
    </xf>
    <xf numFmtId="0" fontId="1" fillId="0" borderId="84" xfId="0" applyFont="1" applyBorder="1" applyAlignment="1">
      <alignment horizontal="left"/>
    </xf>
    <xf numFmtId="2" fontId="1" fillId="0" borderId="0" xfId="0" applyNumberFormat="1" applyFont="1" applyAlignment="1">
      <alignment horizontal="center" vertical="center"/>
    </xf>
    <xf numFmtId="2" fontId="0" fillId="0" borderId="28" xfId="0" applyNumberFormat="1" applyBorder="1" applyAlignment="1">
      <alignment horizontal="center" vertical="center"/>
    </xf>
    <xf numFmtId="2" fontId="0" fillId="0" borderId="30" xfId="0" applyNumberFormat="1" applyBorder="1" applyAlignment="1">
      <alignment horizontal="center" vertical="center"/>
    </xf>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2" fontId="1" fillId="3" borderId="66" xfId="0" applyNumberFormat="1" applyFont="1" applyFill="1" applyBorder="1" applyAlignment="1">
      <alignment horizontal="center" vertical="center" wrapText="1"/>
    </xf>
    <xf numFmtId="2" fontId="1" fillId="3" borderId="54" xfId="0" applyNumberFormat="1" applyFont="1" applyFill="1" applyBorder="1" applyAlignment="1">
      <alignment horizontal="center" vertical="center" wrapText="1"/>
    </xf>
    <xf numFmtId="2" fontId="1" fillId="3" borderId="55" xfId="0" applyNumberFormat="1" applyFont="1" applyFill="1" applyBorder="1" applyAlignment="1">
      <alignment horizontal="center" vertical="center" wrapText="1"/>
    </xf>
    <xf numFmtId="0" fontId="22" fillId="3" borderId="42" xfId="0" applyFont="1" applyFill="1" applyBorder="1" applyAlignment="1">
      <alignment horizontal="left" vertical="center" wrapText="1"/>
    </xf>
    <xf numFmtId="0" fontId="1" fillId="3" borderId="24" xfId="0" applyFont="1" applyFill="1" applyBorder="1" applyAlignment="1">
      <alignment horizontal="left" vertical="center" wrapText="1"/>
    </xf>
    <xf numFmtId="0" fontId="1" fillId="0" borderId="22" xfId="0" applyFont="1" applyBorder="1" applyAlignment="1">
      <alignment horizontal="left"/>
    </xf>
    <xf numFmtId="0" fontId="1" fillId="3" borderId="87" xfId="0" applyFont="1" applyFill="1" applyBorder="1" applyAlignment="1">
      <alignment horizontal="center" vertical="center"/>
    </xf>
    <xf numFmtId="0" fontId="1" fillId="3" borderId="89" xfId="0" applyFont="1" applyFill="1" applyBorder="1" applyAlignment="1">
      <alignment horizontal="center" vertical="center"/>
    </xf>
    <xf numFmtId="0" fontId="1" fillId="0" borderId="94" xfId="0" applyFont="1" applyBorder="1" applyAlignment="1">
      <alignment horizontal="left"/>
    </xf>
    <xf numFmtId="0" fontId="1" fillId="0" borderId="91" xfId="0" applyFont="1" applyBorder="1" applyAlignment="1">
      <alignment horizontal="left"/>
    </xf>
    <xf numFmtId="0" fontId="1" fillId="0" borderId="44" xfId="0" applyFont="1" applyBorder="1" applyAlignment="1">
      <alignment horizontal="left"/>
    </xf>
    <xf numFmtId="0" fontId="1" fillId="3" borderId="87" xfId="0" applyFont="1" applyFill="1" applyBorder="1" applyAlignment="1">
      <alignment horizontal="justify" vertical="center" wrapText="1"/>
    </xf>
    <xf numFmtId="0" fontId="1" fillId="3" borderId="89" xfId="0" applyFont="1" applyFill="1" applyBorder="1" applyAlignment="1">
      <alignment horizontal="justify" vertical="center" wrapText="1"/>
    </xf>
    <xf numFmtId="0" fontId="1" fillId="3" borderId="78" xfId="0" applyFont="1" applyFill="1" applyBorder="1" applyAlignment="1">
      <alignment horizontal="justify" vertical="center" wrapText="1"/>
    </xf>
    <xf numFmtId="0" fontId="1" fillId="3" borderId="80" xfId="0" applyFont="1" applyFill="1" applyBorder="1" applyAlignment="1">
      <alignment horizontal="justify" vertical="center" wrapText="1"/>
    </xf>
    <xf numFmtId="0" fontId="1" fillId="3" borderId="85" xfId="0" applyFont="1" applyFill="1" applyBorder="1" applyAlignment="1">
      <alignment horizontal="center"/>
    </xf>
    <xf numFmtId="0" fontId="1" fillId="3" borderId="54" xfId="0" applyFont="1" applyFill="1" applyBorder="1" applyAlignment="1">
      <alignment horizontal="center"/>
    </xf>
    <xf numFmtId="0" fontId="1" fillId="3" borderId="9" xfId="0" applyFont="1" applyFill="1" applyBorder="1" applyAlignment="1">
      <alignment horizontal="center" vertical="center"/>
    </xf>
    <xf numFmtId="0" fontId="1" fillId="0" borderId="79" xfId="0" applyFont="1" applyBorder="1" applyAlignment="1">
      <alignment horizontal="center"/>
    </xf>
    <xf numFmtId="0" fontId="1" fillId="0" borderId="77" xfId="0" applyFont="1" applyBorder="1" applyAlignment="1">
      <alignment horizontal="center"/>
    </xf>
    <xf numFmtId="0" fontId="1" fillId="3" borderId="87" xfId="0" applyFont="1" applyFill="1" applyBorder="1" applyAlignment="1">
      <alignment horizontal="center" vertical="center" wrapText="1"/>
    </xf>
    <xf numFmtId="0" fontId="1" fillId="3" borderId="88" xfId="0" applyFont="1" applyFill="1" applyBorder="1" applyAlignment="1">
      <alignment horizontal="center" vertical="center" wrapText="1"/>
    </xf>
    <xf numFmtId="0" fontId="22" fillId="0" borderId="0" xfId="0" applyFont="1" applyAlignment="1">
      <alignment horizontal="left" vertical="center" wrapText="1"/>
    </xf>
    <xf numFmtId="0" fontId="1" fillId="0" borderId="0" xfId="0" applyFont="1" applyAlignment="1">
      <alignment horizontal="left" vertical="center" wrapText="1" indent="1"/>
    </xf>
    <xf numFmtId="0" fontId="1" fillId="3" borderId="55" xfId="0" applyFont="1" applyFill="1" applyBorder="1" applyAlignment="1">
      <alignment horizontal="center"/>
    </xf>
    <xf numFmtId="0" fontId="1" fillId="0" borderId="44" xfId="0" applyFont="1" applyBorder="1" applyAlignment="1">
      <alignment horizontal="center"/>
    </xf>
    <xf numFmtId="0" fontId="1" fillId="0" borderId="22" xfId="0" applyFont="1" applyBorder="1" applyAlignment="1">
      <alignment horizontal="left" vertical="center" wrapText="1"/>
    </xf>
    <xf numFmtId="0" fontId="0" fillId="3" borderId="79" xfId="0" applyFill="1" applyBorder="1" applyAlignment="1">
      <alignment horizontal="center" vertical="center"/>
    </xf>
    <xf numFmtId="0" fontId="1" fillId="0" borderId="0" xfId="0" applyFont="1" applyAlignment="1">
      <alignment horizontal="justify" vertical="center" wrapText="1"/>
    </xf>
    <xf numFmtId="0" fontId="12" fillId="0" borderId="28" xfId="0" applyFont="1" applyBorder="1" applyAlignment="1">
      <alignment horizontal="center" vertical="center"/>
    </xf>
    <xf numFmtId="0" fontId="12" fillId="0" borderId="30" xfId="0" applyFont="1" applyBorder="1" applyAlignment="1">
      <alignment horizontal="center" vertical="center"/>
    </xf>
    <xf numFmtId="0" fontId="1" fillId="0" borderId="28" xfId="0" applyFont="1" applyBorder="1" applyAlignment="1">
      <alignment horizontal="center" vertical="top"/>
    </xf>
    <xf numFmtId="0" fontId="1" fillId="0" borderId="30" xfId="0" applyFont="1" applyBorder="1" applyAlignment="1">
      <alignment horizontal="center" vertical="top"/>
    </xf>
    <xf numFmtId="0" fontId="50" fillId="0" borderId="22" xfId="0" applyFont="1" applyBorder="1" applyAlignment="1">
      <alignment horizontal="justify" vertical="center" wrapText="1"/>
    </xf>
    <xf numFmtId="0" fontId="50" fillId="0" borderId="0" xfId="0" applyFont="1" applyAlignment="1">
      <alignment horizontal="justify" vertical="center" wrapText="1"/>
    </xf>
    <xf numFmtId="0" fontId="0" fillId="0" borderId="11" xfId="0" applyBorder="1" applyAlignment="1">
      <alignment horizontal="center" vertical="center" wrapText="1"/>
    </xf>
    <xf numFmtId="0" fontId="1" fillId="3" borderId="43" xfId="0" applyFont="1" applyFill="1" applyBorder="1" applyAlignment="1">
      <alignment horizontal="center" vertical="center" wrapText="1"/>
    </xf>
    <xf numFmtId="0" fontId="1" fillId="3" borderId="44" xfId="0" applyFont="1" applyFill="1" applyBorder="1" applyAlignment="1">
      <alignment horizontal="center" vertical="center" wrapText="1"/>
    </xf>
    <xf numFmtId="0" fontId="22" fillId="3" borderId="119" xfId="0" applyFont="1" applyFill="1" applyBorder="1" applyAlignment="1">
      <alignment horizontal="center" vertical="center"/>
    </xf>
    <xf numFmtId="0" fontId="22" fillId="3" borderId="78" xfId="0" applyFont="1" applyFill="1" applyBorder="1" applyAlignment="1">
      <alignment horizontal="center" vertical="center"/>
    </xf>
    <xf numFmtId="0" fontId="22" fillId="3" borderId="29" xfId="0" applyFont="1" applyFill="1" applyBorder="1" applyAlignment="1">
      <alignment horizontal="center" vertical="center" wrapText="1"/>
    </xf>
    <xf numFmtId="0" fontId="22" fillId="3" borderId="100" xfId="0" applyFont="1" applyFill="1" applyBorder="1" applyAlignment="1">
      <alignment horizontal="center" vertical="center" wrapText="1"/>
    </xf>
    <xf numFmtId="0" fontId="22" fillId="3" borderId="119" xfId="0" applyFont="1" applyFill="1" applyBorder="1" applyAlignment="1">
      <alignment horizontal="center" vertical="center" wrapText="1"/>
    </xf>
    <xf numFmtId="0" fontId="22" fillId="3" borderId="78" xfId="0" applyFont="1" applyFill="1" applyBorder="1" applyAlignment="1">
      <alignment horizontal="center" vertical="center" wrapText="1"/>
    </xf>
    <xf numFmtId="0" fontId="0" fillId="3" borderId="35" xfId="0" applyFill="1" applyBorder="1" applyAlignment="1">
      <alignment vertical="center" wrapText="1"/>
    </xf>
    <xf numFmtId="0" fontId="0" fillId="3" borderId="42" xfId="0" applyFill="1" applyBorder="1" applyAlignment="1">
      <alignment vertical="center" wrapText="1"/>
    </xf>
    <xf numFmtId="0" fontId="0" fillId="0" borderId="35" xfId="0" applyBorder="1" applyAlignment="1">
      <alignment horizontal="center"/>
    </xf>
    <xf numFmtId="0" fontId="0" fillId="0" borderId="48" xfId="0" applyBorder="1" applyAlignment="1">
      <alignment horizontal="center"/>
    </xf>
    <xf numFmtId="0" fontId="0" fillId="0" borderId="36" xfId="0" applyBorder="1" applyAlignment="1">
      <alignment horizontal="center"/>
    </xf>
    <xf numFmtId="0" fontId="0" fillId="0" borderId="24" xfId="0" applyBorder="1" applyAlignment="1">
      <alignment horizontal="center"/>
    </xf>
    <xf numFmtId="0" fontId="0" fillId="0" borderId="66" xfId="0" applyBorder="1" applyAlignment="1">
      <alignment vertical="center" wrapText="1"/>
    </xf>
    <xf numFmtId="0" fontId="0" fillId="0" borderId="76" xfId="0" applyBorder="1" applyAlignment="1">
      <alignment vertical="center" wrapText="1"/>
    </xf>
    <xf numFmtId="0" fontId="0" fillId="0" borderId="34" xfId="0" applyBorder="1" applyAlignment="1">
      <alignment vertical="center" wrapText="1"/>
    </xf>
    <xf numFmtId="0" fontId="0" fillId="0" borderId="56" xfId="0" applyBorder="1" applyAlignment="1">
      <alignment vertical="center" wrapText="1"/>
    </xf>
    <xf numFmtId="0" fontId="0" fillId="0" borderId="49" xfId="0" applyBorder="1" applyAlignment="1">
      <alignment horizontal="center" vertical="center" wrapText="1"/>
    </xf>
    <xf numFmtId="0" fontId="0" fillId="0" borderId="70" xfId="0" applyBorder="1" applyAlignment="1">
      <alignment horizontal="center" vertical="center" wrapText="1"/>
    </xf>
    <xf numFmtId="0" fontId="0" fillId="0" borderId="50" xfId="0" applyBorder="1" applyAlignment="1">
      <alignment horizontal="center" vertical="center" wrapText="1"/>
    </xf>
    <xf numFmtId="0" fontId="0" fillId="0" borderId="43" xfId="0" applyBorder="1" applyAlignment="1">
      <alignment vertical="center" wrapText="1"/>
    </xf>
    <xf numFmtId="0" fontId="0" fillId="0" borderId="35" xfId="0" applyBorder="1" applyAlignment="1">
      <alignment horizontal="center" vertical="center" wrapText="1"/>
    </xf>
    <xf numFmtId="0" fontId="0" fillId="0" borderId="48" xfId="0" applyBorder="1" applyAlignment="1">
      <alignment horizontal="center" vertical="center" wrapText="1"/>
    </xf>
    <xf numFmtId="0" fontId="0" fillId="0" borderId="36" xfId="0" applyBorder="1" applyAlignment="1">
      <alignment horizontal="center" vertical="center" wrapText="1"/>
    </xf>
    <xf numFmtId="0" fontId="0" fillId="0" borderId="42" xfId="0" applyBorder="1" applyAlignment="1">
      <alignment horizontal="center" vertical="center" wrapText="1"/>
    </xf>
    <xf numFmtId="0" fontId="0" fillId="0" borderId="24" xfId="0" applyBorder="1" applyAlignment="1">
      <alignment horizontal="center" vertical="center" wrapText="1"/>
    </xf>
    <xf numFmtId="0" fontId="0" fillId="0" borderId="41" xfId="0" applyBorder="1" applyAlignment="1">
      <alignment horizontal="center" vertical="center" wrapText="1"/>
    </xf>
    <xf numFmtId="0" fontId="0" fillId="3" borderId="4" xfId="0" applyFill="1" applyBorder="1" applyAlignment="1">
      <alignment horizontal="center" vertical="center" wrapText="1"/>
    </xf>
    <xf numFmtId="0" fontId="0" fillId="3" borderId="7" xfId="0" applyFill="1" applyBorder="1" applyAlignment="1">
      <alignment horizontal="center" vertical="center" wrapText="1"/>
    </xf>
    <xf numFmtId="0" fontId="0" fillId="3" borderId="9" xfId="0" applyFill="1" applyBorder="1" applyAlignment="1">
      <alignment horizontal="center" vertical="center" wrapText="1"/>
    </xf>
    <xf numFmtId="0" fontId="0" fillId="3" borderId="42"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41" xfId="0" applyFill="1" applyBorder="1" applyAlignment="1">
      <alignment horizontal="center" vertical="center" wrapText="1"/>
    </xf>
    <xf numFmtId="0" fontId="45" fillId="3" borderId="66" xfId="0" applyFont="1" applyFill="1" applyBorder="1" applyAlignment="1">
      <alignment horizontal="center" vertical="center" wrapText="1"/>
    </xf>
    <xf numFmtId="0" fontId="45" fillId="3" borderId="54" xfId="0" applyFont="1" applyFill="1" applyBorder="1" applyAlignment="1">
      <alignment horizontal="center" vertical="center" wrapText="1"/>
    </xf>
    <xf numFmtId="0" fontId="45" fillId="3" borderId="55" xfId="0" applyFont="1" applyFill="1" applyBorder="1" applyAlignment="1">
      <alignment horizontal="center" vertical="center" wrapText="1"/>
    </xf>
    <xf numFmtId="0" fontId="22" fillId="3" borderId="67" xfId="0" applyFont="1" applyFill="1" applyBorder="1" applyAlignment="1">
      <alignment horizontal="center" vertical="center" wrapText="1"/>
    </xf>
    <xf numFmtId="0" fontId="0" fillId="0" borderId="29" xfId="0" applyBorder="1" applyAlignment="1">
      <alignment horizontal="center" vertical="center" wrapText="1"/>
    </xf>
    <xf numFmtId="0" fontId="18" fillId="3" borderId="4"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22" fillId="0" borderId="2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0" xfId="0" applyFont="1" applyAlignment="1">
      <alignment horizontal="left" vertical="center"/>
    </xf>
    <xf numFmtId="0" fontId="22" fillId="0" borderId="29" xfId="0" applyFont="1" applyBorder="1" applyAlignment="1">
      <alignment horizontal="center" vertical="center" wrapText="1"/>
    </xf>
    <xf numFmtId="0" fontId="18" fillId="3" borderId="28" xfId="0" applyFont="1" applyFill="1" applyBorder="1" applyAlignment="1">
      <alignment horizontal="center" vertical="center" wrapText="1"/>
    </xf>
    <xf numFmtId="0" fontId="18" fillId="3" borderId="29" xfId="0" applyFont="1" applyFill="1" applyBorder="1" applyAlignment="1">
      <alignment horizontal="center" vertical="center" wrapText="1"/>
    </xf>
    <xf numFmtId="0" fontId="18" fillId="3" borderId="30" xfId="0" applyFont="1" applyFill="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18" fillId="3" borderId="35" xfId="0" applyFont="1" applyFill="1" applyBorder="1" applyAlignment="1">
      <alignment horizontal="center" vertical="center" wrapText="1"/>
    </xf>
    <xf numFmtId="0" fontId="0" fillId="3" borderId="4" xfId="0" applyFill="1" applyBorder="1" applyAlignment="1">
      <alignment vertical="center" wrapText="1"/>
    </xf>
    <xf numFmtId="0" fontId="0" fillId="3" borderId="9" xfId="0" applyFill="1" applyBorder="1" applyAlignment="1">
      <alignment vertical="center" wrapText="1"/>
    </xf>
    <xf numFmtId="0" fontId="0" fillId="0" borderId="83" xfId="0" applyBorder="1" applyAlignment="1">
      <alignment vertical="center" wrapText="1"/>
    </xf>
    <xf numFmtId="0" fontId="18" fillId="3" borderId="4" xfId="0" applyFont="1" applyFill="1" applyBorder="1" applyAlignment="1">
      <alignment vertical="center" wrapText="1"/>
    </xf>
    <xf numFmtId="0" fontId="18" fillId="3" borderId="7" xfId="0" applyFont="1" applyFill="1" applyBorder="1" applyAlignment="1">
      <alignment vertical="center" wrapText="1"/>
    </xf>
    <xf numFmtId="0" fontId="18" fillId="3" borderId="9" xfId="0" applyFont="1" applyFill="1" applyBorder="1" applyAlignment="1">
      <alignment vertical="center" wrapText="1"/>
    </xf>
    <xf numFmtId="0" fontId="0" fillId="3" borderId="28"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30" xfId="0" applyFill="1" applyBorder="1" applyAlignment="1">
      <alignment horizontal="center" vertical="center" wrapText="1"/>
    </xf>
    <xf numFmtId="0" fontId="0" fillId="3" borderId="7" xfId="0" applyFill="1" applyBorder="1" applyAlignment="1">
      <alignment vertical="center" wrapText="1"/>
    </xf>
    <xf numFmtId="0" fontId="18" fillId="3" borderId="36" xfId="0" applyFont="1" applyFill="1" applyBorder="1" applyAlignment="1">
      <alignment horizontal="center" vertical="center" wrapText="1"/>
    </xf>
    <xf numFmtId="0" fontId="18" fillId="3" borderId="42" xfId="0"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22" fillId="3" borderId="13"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28" xfId="0" applyFont="1" applyBorder="1" applyAlignment="1">
      <alignment horizontal="left" vertical="center" wrapText="1" indent="1"/>
    </xf>
    <xf numFmtId="0" fontId="1" fillId="0" borderId="29" xfId="0" applyFont="1" applyBorder="1" applyAlignment="1">
      <alignment horizontal="left" vertical="center" wrapText="1" indent="1"/>
    </xf>
    <xf numFmtId="0" fontId="1" fillId="0" borderId="30" xfId="0" applyFont="1" applyBorder="1" applyAlignment="1">
      <alignment horizontal="left" vertical="center" wrapText="1" indent="1"/>
    </xf>
    <xf numFmtId="0" fontId="1" fillId="0" borderId="106" xfId="0" applyFont="1" applyBorder="1" applyAlignment="1">
      <alignment vertical="center" wrapText="1"/>
    </xf>
    <xf numFmtId="0" fontId="0" fillId="0" borderId="107" xfId="0" applyBorder="1" applyAlignment="1">
      <alignment vertical="center" wrapText="1"/>
    </xf>
    <xf numFmtId="0" fontId="0" fillId="0" borderId="108" xfId="0" applyBorder="1" applyAlignment="1">
      <alignment vertical="center" wrapText="1"/>
    </xf>
    <xf numFmtId="0" fontId="0" fillId="0" borderId="0" xfId="0" applyAlignment="1">
      <alignment vertical="center" wrapText="1"/>
    </xf>
    <xf numFmtId="0" fontId="0" fillId="0" borderId="35" xfId="0" applyBorder="1" applyAlignment="1">
      <alignment horizontal="left" vertical="center" wrapText="1"/>
    </xf>
    <xf numFmtId="0" fontId="0" fillId="0" borderId="109" xfId="0" applyBorder="1" applyAlignment="1">
      <alignment horizontal="left" vertical="center" wrapText="1"/>
    </xf>
    <xf numFmtId="0" fontId="1" fillId="0" borderId="111" xfId="0" applyFont="1" applyBorder="1" applyAlignment="1">
      <alignment horizontal="left" vertical="center" wrapText="1"/>
    </xf>
    <xf numFmtId="0" fontId="1" fillId="0" borderId="36" xfId="0" applyFont="1" applyBorder="1" applyAlignment="1">
      <alignment horizontal="left" vertical="center" wrapText="1"/>
    </xf>
    <xf numFmtId="0" fontId="0" fillId="0" borderId="36" xfId="0" applyBorder="1" applyAlignment="1">
      <alignment horizontal="left" vertical="center" wrapText="1"/>
    </xf>
    <xf numFmtId="0" fontId="0" fillId="0" borderId="22" xfId="0" applyBorder="1" applyAlignment="1">
      <alignment horizontal="left" vertical="center" wrapText="1"/>
    </xf>
    <xf numFmtId="0" fontId="0" fillId="0" borderId="106" xfId="0" applyBorder="1" applyAlignment="1">
      <alignment horizontal="left" vertical="center" wrapText="1"/>
    </xf>
    <xf numFmtId="0" fontId="0" fillId="0" borderId="51" xfId="0" applyBorder="1" applyAlignment="1">
      <alignment horizontal="left" vertical="center" wrapText="1"/>
    </xf>
    <xf numFmtId="0" fontId="0" fillId="0" borderId="112" xfId="0" applyBorder="1" applyAlignment="1">
      <alignment horizontal="left" vertical="center" wrapText="1"/>
    </xf>
    <xf numFmtId="0" fontId="0" fillId="0" borderId="113" xfId="0" applyBorder="1" applyAlignment="1">
      <alignment vertical="top" wrapText="1"/>
    </xf>
    <xf numFmtId="0" fontId="0" fillId="0" borderId="41" xfId="0" applyBorder="1" applyAlignment="1">
      <alignment vertical="top" wrapText="1"/>
    </xf>
    <xf numFmtId="0" fontId="0" fillId="0" borderId="48" xfId="0" applyBorder="1" applyAlignment="1">
      <alignment horizontal="left" vertical="center" wrapText="1"/>
    </xf>
    <xf numFmtId="0" fontId="1" fillId="0" borderId="48" xfId="0" applyFont="1" applyBorder="1" applyAlignment="1">
      <alignment horizontal="left" vertical="center" wrapText="1"/>
    </xf>
    <xf numFmtId="0" fontId="1" fillId="0" borderId="112" xfId="0" applyFont="1" applyBorder="1" applyAlignment="1">
      <alignment horizontal="left" vertical="center" wrapText="1"/>
    </xf>
    <xf numFmtId="0" fontId="1" fillId="0" borderId="51" xfId="0" applyFont="1" applyBorder="1" applyAlignment="1">
      <alignment horizontal="left" vertical="center" wrapText="1"/>
    </xf>
    <xf numFmtId="0" fontId="1" fillId="0" borderId="113" xfId="0" applyFont="1" applyBorder="1" applyAlignment="1">
      <alignment horizontal="left" vertical="center" wrapText="1"/>
    </xf>
    <xf numFmtId="0" fontId="1" fillId="0" borderId="24" xfId="0" applyFont="1" applyBorder="1" applyAlignment="1">
      <alignment horizontal="left" vertical="center" wrapText="1"/>
    </xf>
    <xf numFmtId="0" fontId="1" fillId="0" borderId="41" xfId="0" applyFont="1" applyBorder="1" applyAlignment="1">
      <alignment horizontal="left" vertical="center" wrapText="1"/>
    </xf>
    <xf numFmtId="0" fontId="0" fillId="0" borderId="42" xfId="0" applyBorder="1" applyAlignment="1">
      <alignment horizontal="left" vertical="center" wrapText="1"/>
    </xf>
    <xf numFmtId="0" fontId="0" fillId="0" borderId="24" xfId="0" applyBorder="1" applyAlignment="1">
      <alignment horizontal="left" vertical="center" wrapText="1"/>
    </xf>
    <xf numFmtId="0" fontId="0" fillId="0" borderId="110"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1" fillId="0" borderId="22" xfId="0" applyFont="1" applyBorder="1" applyAlignment="1">
      <alignment horizontal="justify" vertical="center" wrapText="1"/>
    </xf>
    <xf numFmtId="0" fontId="1" fillId="0" borderId="51" xfId="0" applyFont="1" applyBorder="1" applyAlignment="1">
      <alignment horizontal="justify" vertical="center" wrapText="1"/>
    </xf>
    <xf numFmtId="0" fontId="0" fillId="0" borderId="41" xfId="0" applyBorder="1" applyAlignment="1">
      <alignment horizontal="left" vertical="center" wrapText="1"/>
    </xf>
    <xf numFmtId="0" fontId="0" fillId="0" borderId="24" xfId="0" applyBorder="1" applyAlignment="1">
      <alignment vertical="top" wrapText="1"/>
    </xf>
    <xf numFmtId="0" fontId="1" fillId="0" borderId="22" xfId="0" applyFont="1" applyBorder="1" applyAlignment="1">
      <alignment horizontal="right" vertical="center" wrapText="1"/>
    </xf>
    <xf numFmtId="0" fontId="1" fillId="0" borderId="51" xfId="0" applyFont="1" applyBorder="1" applyAlignment="1">
      <alignment horizontal="right" vertical="center" wrapText="1"/>
    </xf>
    <xf numFmtId="0" fontId="0" fillId="0" borderId="22" xfId="0" applyBorder="1" applyAlignment="1">
      <alignment vertical="center" wrapText="1"/>
    </xf>
    <xf numFmtId="0" fontId="0" fillId="0" borderId="51" xfId="0" applyBorder="1" applyAlignment="1">
      <alignment vertical="center" wrapText="1"/>
    </xf>
    <xf numFmtId="0" fontId="1" fillId="0" borderId="42" xfId="0" applyFont="1" applyBorder="1" applyAlignment="1">
      <alignment horizontal="left" vertical="center" wrapText="1"/>
    </xf>
    <xf numFmtId="0" fontId="1" fillId="0" borderId="35"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7" xfId="0" applyFont="1" applyBorder="1" applyAlignment="1">
      <alignment horizontal="left" vertical="center" wrapText="1"/>
    </xf>
    <xf numFmtId="0" fontId="0" fillId="0" borderId="22" xfId="0" applyBorder="1" applyAlignment="1">
      <alignment horizontal="left" vertical="center" wrapText="1" indent="1"/>
    </xf>
    <xf numFmtId="0" fontId="0" fillId="0" borderId="0" xfId="0" applyAlignment="1">
      <alignment horizontal="left" vertical="center" wrapText="1" indent="1"/>
    </xf>
    <xf numFmtId="0" fontId="0" fillId="0" borderId="51" xfId="0" applyBorder="1" applyAlignment="1">
      <alignment horizontal="left" vertical="center" wrapText="1" indent="1"/>
    </xf>
    <xf numFmtId="0" fontId="0" fillId="0" borderId="42" xfId="0" applyBorder="1" applyAlignment="1">
      <alignment horizontal="left" vertical="center" wrapText="1" indent="1"/>
    </xf>
    <xf numFmtId="0" fontId="0" fillId="0" borderId="24" xfId="0" applyBorder="1" applyAlignment="1">
      <alignment horizontal="left" vertical="center" wrapText="1" indent="1"/>
    </xf>
    <xf numFmtId="0" fontId="0" fillId="0" borderId="41" xfId="0" applyBorder="1" applyAlignment="1">
      <alignment horizontal="left" vertical="center" wrapText="1" inden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justify" vertical="center" wrapText="1"/>
    </xf>
    <xf numFmtId="0" fontId="0" fillId="0" borderId="7" xfId="0" applyBorder="1" applyAlignment="1">
      <alignment horizontal="justify" vertical="center" wrapText="1"/>
    </xf>
    <xf numFmtId="0" fontId="0" fillId="0" borderId="9" xfId="0" applyBorder="1" applyAlignment="1">
      <alignment horizontal="justify" vertical="center" wrapText="1"/>
    </xf>
    <xf numFmtId="0" fontId="17" fillId="0" borderId="0" xfId="0" applyFont="1" applyAlignment="1">
      <alignment horizontal="right"/>
    </xf>
  </cellXfs>
  <cellStyles count="2">
    <cellStyle name="Hiperligação" xfId="1" builtinId="8"/>
    <cellStyle name="Normal" xfId="0" builtinId="0"/>
  </cellStyles>
  <dxfs count="0"/>
  <tableStyles count="0" defaultTableStyle="TableStyleMedium2" defaultPivotStyle="PivotStyleLight16"/>
  <colors>
    <mruColors>
      <color rgb="FF12CB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38.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40.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4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44.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46.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171450</xdr:rowOff>
    </xdr:from>
    <xdr:ext cx="184731" cy="264560"/>
    <xdr:sp macro="" textlink="">
      <xdr:nvSpPr>
        <xdr:cNvPr id="2" name="CaixaDeTexto 1">
          <a:extLst>
            <a:ext uri="{FF2B5EF4-FFF2-40B4-BE49-F238E27FC236}">
              <a16:creationId xmlns:a16="http://schemas.microsoft.com/office/drawing/2014/main" id="{00000000-0008-0000-0E00-000002000000}"/>
            </a:ext>
          </a:extLst>
        </xdr:cNvPr>
        <xdr:cNvSpPr txBox="1"/>
      </xdr:nvSpPr>
      <xdr:spPr>
        <a:xfrm>
          <a:off x="5695950" y="36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PT" sz="1100"/>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C:\Users\Utilizador\Downloads\Caderno_de_campo_unico_V7_05%20MAI%202026.xlsx" TargetMode="External"/><Relationship Id="rId7" Type="http://schemas.openxmlformats.org/officeDocument/2006/relationships/comments" Target="../comments1.xml"/><Relationship Id="rId2" Type="http://schemas.openxmlformats.org/officeDocument/2006/relationships/hyperlink" Target="file:///C:\Users\Utilizador\Downloads\Caderno_de_campo_unico_V5_22-04-2024.xlsx" TargetMode="External"/><Relationship Id="rId1" Type="http://schemas.openxmlformats.org/officeDocument/2006/relationships/hyperlink" Target="file:///C:\Users\Utilizador\Downloads\Caderno_de_campo_unico_V5_22-04-2024.xlsx" TargetMode="External"/><Relationship Id="rId6" Type="http://schemas.openxmlformats.org/officeDocument/2006/relationships/vmlDrawing" Target="../drawings/vmlDrawing2.v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vmlDrawing" Target="../drawings/vmlDrawing15.v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vmlDrawing" Target="../drawings/vmlDrawing17.v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vmlDrawing" Target="../drawings/vmlDrawing19.v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11.bin"/><Relationship Id="rId1" Type="http://schemas.openxmlformats.org/officeDocument/2006/relationships/hyperlink" Target="file:///C:\Users\Utilizador\Downloads\Caderno_de_campo_unico_V5_22-04-2024.xlsx" TargetMode="External"/><Relationship Id="rId5" Type="http://schemas.openxmlformats.org/officeDocument/2006/relationships/comments" Target="../comments11.xml"/><Relationship Id="rId4" Type="http://schemas.openxmlformats.org/officeDocument/2006/relationships/vmlDrawing" Target="../drawings/vmlDrawing22.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vmlDrawing" Target="../drawings/vmlDrawing23.v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vmlDrawing" Target="../drawings/vmlDrawing25.v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vmlDrawing" Target="../drawings/vmlDrawing27.v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15.bin"/><Relationship Id="rId5" Type="http://schemas.openxmlformats.org/officeDocument/2006/relationships/comments" Target="../comments15.xml"/><Relationship Id="rId4" Type="http://schemas.openxmlformats.org/officeDocument/2006/relationships/vmlDrawing" Target="../drawings/vmlDrawing30.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vmlDrawing" Target="../drawings/vmlDrawing31.vml"/><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vmlDrawing" Target="../drawings/vmlDrawing33.vml"/><Relationship Id="rId1" Type="http://schemas.openxmlformats.org/officeDocument/2006/relationships/printerSettings" Target="../printerSettings/printerSettings17.bin"/><Relationship Id="rId4"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vmlDrawing" Target="../drawings/vmlDrawing35.vml"/><Relationship Id="rId1" Type="http://schemas.openxmlformats.org/officeDocument/2006/relationships/printerSettings" Target="../printerSettings/printerSettings18.bin"/><Relationship Id="rId4"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vmlDrawing" Target="../drawings/vmlDrawing37.vml"/><Relationship Id="rId1" Type="http://schemas.openxmlformats.org/officeDocument/2006/relationships/printerSettings" Target="../printerSettings/printerSettings19.bin"/><Relationship Id="rId4"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vmlDrawing" Target="../drawings/vmlDrawing39.vml"/><Relationship Id="rId1" Type="http://schemas.openxmlformats.org/officeDocument/2006/relationships/printerSettings" Target="../printerSettings/printerSettings20.bin"/><Relationship Id="rId4"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vmlDrawing" Target="../drawings/vmlDrawing41.vml"/><Relationship Id="rId1" Type="http://schemas.openxmlformats.org/officeDocument/2006/relationships/printerSettings" Target="../printerSettings/printerSettings21.bin"/><Relationship Id="rId4"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vmlDrawing" Target="../drawings/vmlDrawing43.vml"/><Relationship Id="rId1" Type="http://schemas.openxmlformats.org/officeDocument/2006/relationships/printerSettings" Target="../printerSettings/printerSettings22.bin"/><Relationship Id="rId4"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vmlDrawing" Target="../drawings/vmlDrawing45.vml"/><Relationship Id="rId1" Type="http://schemas.openxmlformats.org/officeDocument/2006/relationships/printerSettings" Target="../printerSettings/printerSettings23.bin"/><Relationship Id="rId4" Type="http://schemas.openxmlformats.org/officeDocument/2006/relationships/comments" Target="../comments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showGridLines="0" showRuler="0" view="pageLayout" zoomScaleNormal="100" workbookViewId="0"/>
  </sheetViews>
  <sheetFormatPr defaultRowHeight="15" x14ac:dyDescent="0.25"/>
  <cols>
    <col min="3" max="3" width="10.140625" customWidth="1"/>
  </cols>
  <sheetData>
    <row r="1" spans="1:7" ht="34.5" customHeight="1" x14ac:dyDescent="0.25"/>
    <row r="4" spans="1:7" ht="17.25" x14ac:dyDescent="0.3">
      <c r="A4" s="33" t="s">
        <v>248</v>
      </c>
    </row>
    <row r="5" spans="1:7" ht="17.25" x14ac:dyDescent="0.3">
      <c r="A5" s="33"/>
    </row>
    <row r="6" spans="1:7" x14ac:dyDescent="0.25">
      <c r="A6" s="604" t="s">
        <v>0</v>
      </c>
      <c r="B6" s="604"/>
      <c r="C6" s="604"/>
      <c r="D6" s="604"/>
      <c r="E6" s="604"/>
      <c r="F6" s="32"/>
      <c r="G6" s="32"/>
    </row>
    <row r="7" spans="1:7" x14ac:dyDescent="0.25">
      <c r="A7" s="605" t="s">
        <v>473</v>
      </c>
      <c r="B7" s="605"/>
      <c r="C7" s="605"/>
      <c r="D7" s="605"/>
      <c r="E7" s="32"/>
      <c r="F7" s="32"/>
      <c r="G7" s="32"/>
    </row>
    <row r="8" spans="1:7" x14ac:dyDescent="0.25">
      <c r="A8" s="604" t="s">
        <v>578</v>
      </c>
      <c r="B8" s="604"/>
      <c r="C8" s="604"/>
      <c r="D8" s="604"/>
      <c r="E8" s="604"/>
      <c r="F8" s="604"/>
      <c r="G8" s="604"/>
    </row>
    <row r="9" spans="1:7" x14ac:dyDescent="0.25">
      <c r="A9" s="605" t="s">
        <v>480</v>
      </c>
      <c r="B9" s="605"/>
      <c r="C9" s="605"/>
      <c r="D9" s="605"/>
      <c r="E9" s="605"/>
      <c r="F9" s="605"/>
    </row>
    <row r="10" spans="1:7" x14ac:dyDescent="0.25">
      <c r="A10" s="604" t="s">
        <v>77</v>
      </c>
      <c r="B10" s="604"/>
      <c r="C10" s="604"/>
      <c r="D10" s="604"/>
    </row>
    <row r="11" spans="1:7" x14ac:dyDescent="0.25">
      <c r="A11" s="604" t="s">
        <v>129</v>
      </c>
      <c r="B11" s="604"/>
      <c r="C11" s="604"/>
      <c r="D11" s="604"/>
    </row>
    <row r="12" spans="1:7" x14ac:dyDescent="0.25">
      <c r="A12" s="604" t="s">
        <v>138</v>
      </c>
      <c r="B12" s="604"/>
      <c r="C12" s="604"/>
    </row>
    <row r="13" spans="1:7" x14ac:dyDescent="0.25">
      <c r="A13" s="605" t="s">
        <v>387</v>
      </c>
      <c r="B13" s="605"/>
      <c r="C13" s="605"/>
      <c r="D13" s="605"/>
      <c r="E13" s="605"/>
      <c r="F13" s="605"/>
      <c r="G13" s="605"/>
    </row>
    <row r="14" spans="1:7" x14ac:dyDescent="0.25">
      <c r="A14" s="604" t="s">
        <v>522</v>
      </c>
      <c r="B14" s="604"/>
      <c r="C14" s="604"/>
      <c r="D14" s="604"/>
      <c r="E14" s="604"/>
      <c r="F14" s="604"/>
    </row>
    <row r="15" spans="1:7" x14ac:dyDescent="0.25">
      <c r="A15" s="604" t="s">
        <v>169</v>
      </c>
      <c r="B15" s="604"/>
      <c r="C15" s="604"/>
    </row>
    <row r="16" spans="1:7" x14ac:dyDescent="0.25">
      <c r="A16" s="604" t="s">
        <v>97</v>
      </c>
      <c r="B16" s="604"/>
      <c r="C16" s="604"/>
    </row>
    <row r="17" spans="1:5" x14ac:dyDescent="0.25">
      <c r="A17" s="604" t="s">
        <v>374</v>
      </c>
      <c r="B17" s="604"/>
      <c r="C17" s="604"/>
    </row>
    <row r="18" spans="1:5" x14ac:dyDescent="0.25">
      <c r="A18" s="604" t="s">
        <v>369</v>
      </c>
      <c r="B18" s="604"/>
      <c r="C18" s="604"/>
      <c r="D18" s="604"/>
    </row>
    <row r="19" spans="1:5" x14ac:dyDescent="0.25">
      <c r="A19" s="604" t="s">
        <v>370</v>
      </c>
      <c r="B19" s="604"/>
      <c r="C19" s="604"/>
    </row>
    <row r="20" spans="1:5" x14ac:dyDescent="0.25">
      <c r="A20" s="605" t="s">
        <v>428</v>
      </c>
      <c r="B20" s="605"/>
      <c r="C20" s="605"/>
      <c r="D20" s="605"/>
      <c r="E20" s="605"/>
    </row>
    <row r="21" spans="1:5" x14ac:dyDescent="0.25">
      <c r="A21" s="604" t="s">
        <v>211</v>
      </c>
      <c r="B21" s="604"/>
      <c r="C21" s="604"/>
    </row>
    <row r="22" spans="1:5" x14ac:dyDescent="0.25">
      <c r="A22" s="604" t="s">
        <v>264</v>
      </c>
      <c r="B22" s="604"/>
      <c r="C22" s="604"/>
      <c r="D22" s="604"/>
    </row>
    <row r="23" spans="1:5" x14ac:dyDescent="0.25">
      <c r="A23" s="604" t="s">
        <v>249</v>
      </c>
      <c r="B23" s="604"/>
      <c r="C23" s="604"/>
    </row>
    <row r="24" spans="1:5" x14ac:dyDescent="0.25">
      <c r="A24" s="604" t="s">
        <v>265</v>
      </c>
      <c r="B24" s="604"/>
      <c r="C24" s="604"/>
      <c r="D24" s="604"/>
    </row>
    <row r="25" spans="1:5" x14ac:dyDescent="0.25">
      <c r="A25" s="604" t="s">
        <v>261</v>
      </c>
      <c r="B25" s="604"/>
      <c r="C25" s="604"/>
    </row>
    <row r="26" spans="1:5" x14ac:dyDescent="0.25">
      <c r="A26" s="604" t="s">
        <v>266</v>
      </c>
      <c r="B26" s="604"/>
      <c r="C26" s="604"/>
      <c r="D26" s="604"/>
      <c r="E26" s="604"/>
    </row>
    <row r="27" spans="1:5" x14ac:dyDescent="0.25">
      <c r="A27" s="605" t="s">
        <v>470</v>
      </c>
      <c r="B27" s="605"/>
      <c r="C27" s="605"/>
    </row>
  </sheetData>
  <mergeCells count="22">
    <mergeCell ref="A27:C27"/>
    <mergeCell ref="A20:E20"/>
    <mergeCell ref="A24:D24"/>
    <mergeCell ref="A22:D22"/>
    <mergeCell ref="A25:C25"/>
    <mergeCell ref="A26:E26"/>
    <mergeCell ref="A11:D11"/>
    <mergeCell ref="A12:C12"/>
    <mergeCell ref="A23:C23"/>
    <mergeCell ref="A15:C15"/>
    <mergeCell ref="A16:C16"/>
    <mergeCell ref="A18:D18"/>
    <mergeCell ref="A21:C21"/>
    <mergeCell ref="A19:C19"/>
    <mergeCell ref="A17:C17"/>
    <mergeCell ref="A14:F14"/>
    <mergeCell ref="A13:G13"/>
    <mergeCell ref="A6:E6"/>
    <mergeCell ref="A8:G8"/>
    <mergeCell ref="A10:D10"/>
    <mergeCell ref="A7:D7"/>
    <mergeCell ref="A9:F9"/>
  </mergeCells>
  <hyperlinks>
    <hyperlink ref="A7:C7" location="'2 Caraterização área sob comp.'!A1" display="2 - Caracterização das Parcelas" xr:uid="{00000000-0004-0000-0000-000000000000}"/>
    <hyperlink ref="A6:E6" location="'1 IDENTIFICAÇÃO BEN_EXP_AT_OC'!A1" display="1 - Identificação do Beneficiário e da Exploração" xr:uid="{00000000-0004-0000-0000-000001000000}"/>
    <hyperlink ref="A9:D9" location="'4 Registo Prot Fitossanitária'!A1" display="4 - Registo de Proteção Fitossanitária" xr:uid="{00000000-0004-0000-0000-000002000000}"/>
    <hyperlink ref="A11:D11" location="'5A Registo Operações Fertil'!A1" display="5A – Registo de Operações de Fertilização" xr:uid="{00000000-0004-0000-0000-000003000000}"/>
    <hyperlink ref="A12:C12" location="'5B Registo das Atividades'!A1" display="5B – Registo das atividades" xr:uid="{00000000-0004-0000-0000-000004000000}"/>
    <hyperlink ref="A13:G13" location="'5C Registo de atividades PP'!A1" display="5C – Registo das atividades pastagens permanentes e pastagens biodiversas" xr:uid="{00000000-0004-0000-0000-000005000000}"/>
    <hyperlink ref="A15:C15" location="'6 Registo Cal. Rega'!A1" display="6 – Registo Calendário Rega" xr:uid="{00000000-0004-0000-0000-000006000000}"/>
    <hyperlink ref="A16:C16" location="'7 Registo de Produção Animal'!A1" display="7 - Registo de Produção Animal" xr:uid="{00000000-0004-0000-0000-000007000000}"/>
    <hyperlink ref="A17:C17" location="'8 Registo Pós-colheita'!A1" display="8 – Registo Pós-Colheita" xr:uid="{00000000-0004-0000-0000-000008000000}"/>
    <hyperlink ref="A18:D18" location="'9 Registo de Aquisições Entra'!A1" display="9 – Registo de Aquisições/Entradas" xr:uid="{00000000-0004-0000-0000-000009000000}"/>
    <hyperlink ref="A19:C19" location="'10 Registo de Vendas'!A1" display="10 – Registo de Vendas" xr:uid="{00000000-0004-0000-0000-00000A000000}"/>
    <hyperlink ref="A20:E20" location="'11 Registo Gestão EP'!A1" display="11 – Registo da gestão de efluentes pecuários" xr:uid="{00000000-0004-0000-0000-00000B000000}"/>
    <hyperlink ref="A21:C21" location="'Anexo 1-Plano de Fertilização'!A1" display="Anexo 1 - Plano de Fertilização" xr:uid="{00000000-0004-0000-0000-00000C000000}"/>
    <hyperlink ref="A22:D22" location="'Anexo 2 - Plano Gest. Pastoreio'!A1" display="Anexo 2 - Plano de Gestão de Pastoreio" xr:uid="{00000000-0004-0000-0000-00000D000000}"/>
    <hyperlink ref="A23:C23" location="'Anexo 3 - Plano Alimentar'!A1" display="Anexo 3 - Plano Alimentar" xr:uid="{00000000-0004-0000-0000-00000E000000}"/>
    <hyperlink ref="A24:D24" location="'Anexo 4 - Plano Boas Práticas H'!A1" display="Anexo 4 - Plano de Boas Práticas de Higiene" xr:uid="{00000000-0004-0000-0000-00000F000000}"/>
    <hyperlink ref="A25:C25" location="'Anexo 5 - Plano de reprodução'!A1" display="Anexo 5 - Plano de Reprodução" xr:uid="{00000000-0004-0000-0000-000010000000}"/>
    <hyperlink ref="A26:E26" location="'Anexo 6 - Registo visitas'!A1" display="Anexo 6 - Registo Visitas da OC, AT, ERR ou ELA" xr:uid="{00000000-0004-0000-0000-000011000000}"/>
    <hyperlink ref="A27:C27" location="'Anexo 7 - Parecer'!A1" display="Anexo 7 - Parecer Planos" xr:uid="{00000000-0004-0000-0000-000012000000}"/>
    <hyperlink ref="A14:F14" r:id="rId1" location="'5D Registo de atividades FA'!A1" display="5D – Registo das atividades fertilização azotada" xr:uid="{00000000-0004-0000-0000-000013000000}"/>
    <hyperlink ref="A8:G8" r:id="rId2" location="'3 Caraterização do Efe.Pecuário'!A1" display="3 - Caracterização do efetivo pecuário sob compromisso na exploração" xr:uid="{00000000-0004-0000-0000-000014000000}"/>
    <hyperlink ref="A10:D10" r:id="rId3" location="'5 Registo Operações Culturais '!A1" display="5 – Registo de Operações Culturais " xr:uid="{00000000-0004-0000-0000-000015000000}"/>
  </hyperlinks>
  <pageMargins left="0.70866141732283472" right="0.70866141732283472" top="1.3779527559055118" bottom="0.74803149606299213" header="0.31496062992125984" footer="0.31496062992125984"/>
  <pageSetup paperSize="9" orientation="portrait" r:id="rId4"/>
  <headerFooter>
    <oddHeader>&amp;L&amp;G
&amp;C&amp;"-,Negrito"&amp;24
Caderno de Campo</oddHeader>
    <oddFooter>&amp;C&amp;G</oddFooter>
  </headerFooter>
  <legacyDrawing r:id="rId5"/>
  <legacyDrawingHF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8"/>
  <sheetViews>
    <sheetView showGridLines="0" showRuler="0" view="pageLayout" topLeftCell="A42" zoomScale="90" zoomScaleNormal="100" zoomScalePageLayoutView="90" workbookViewId="0">
      <selection activeCell="A40" sqref="A40:G40"/>
    </sheetView>
  </sheetViews>
  <sheetFormatPr defaultRowHeight="15" x14ac:dyDescent="0.25"/>
  <cols>
    <col min="1" max="1" width="24.85546875" customWidth="1"/>
    <col min="3" max="3" width="12.140625" customWidth="1"/>
    <col min="4" max="4" width="10.5703125" customWidth="1"/>
    <col min="5" max="5" width="12.42578125" customWidth="1"/>
    <col min="6" max="6" width="11.42578125" customWidth="1"/>
    <col min="7" max="7" width="11.85546875" customWidth="1"/>
    <col min="9" max="9" width="13.140625" customWidth="1"/>
    <col min="11" max="11" width="11.42578125" customWidth="1"/>
  </cols>
  <sheetData>
    <row r="1" spans="1:12" ht="39.75" customHeight="1" x14ac:dyDescent="0.25"/>
    <row r="2" spans="1:12" ht="17.25" x14ac:dyDescent="0.3">
      <c r="A2" s="33" t="s">
        <v>0</v>
      </c>
      <c r="B2" s="48"/>
      <c r="C2" s="48"/>
      <c r="D2" s="48"/>
      <c r="E2" s="48"/>
    </row>
    <row r="3" spans="1:12" ht="15.75" thickBot="1" x14ac:dyDescent="0.3">
      <c r="A3" s="1"/>
    </row>
    <row r="4" spans="1:12" ht="15.75" thickBot="1" x14ac:dyDescent="0.3">
      <c r="A4" s="1" t="s">
        <v>175</v>
      </c>
      <c r="B4" s="40"/>
      <c r="K4" s="604" t="s">
        <v>375</v>
      </c>
      <c r="L4" s="604"/>
    </row>
    <row r="5" spans="1:12" x14ac:dyDescent="0.25">
      <c r="A5" s="1"/>
    </row>
    <row r="6" spans="1:12" ht="14.45" customHeight="1" x14ac:dyDescent="0.25">
      <c r="A6" s="634" t="s">
        <v>1</v>
      </c>
      <c r="B6" s="634"/>
      <c r="C6" s="627"/>
      <c r="D6" s="627"/>
      <c r="E6" s="627"/>
      <c r="F6" s="627"/>
      <c r="G6" s="627"/>
      <c r="H6" s="627"/>
      <c r="I6" s="627"/>
      <c r="J6" s="627"/>
      <c r="K6" s="627"/>
      <c r="L6" s="627"/>
    </row>
    <row r="7" spans="1:12" ht="14.45" customHeight="1" x14ac:dyDescent="0.25">
      <c r="A7" s="635" t="s">
        <v>2</v>
      </c>
      <c r="B7" s="635"/>
      <c r="C7" s="635"/>
      <c r="D7" s="635"/>
      <c r="E7" s="635"/>
      <c r="F7" s="635"/>
      <c r="G7" s="635"/>
      <c r="H7" s="635"/>
      <c r="I7" s="635"/>
      <c r="J7" s="635"/>
      <c r="K7" s="635"/>
      <c r="L7" s="635"/>
    </row>
    <row r="8" spans="1:12" x14ac:dyDescent="0.25">
      <c r="A8" s="632" t="s">
        <v>3</v>
      </c>
      <c r="B8" s="632"/>
      <c r="C8" s="632"/>
      <c r="D8" s="632"/>
      <c r="E8" s="632"/>
      <c r="F8" s="632"/>
      <c r="G8" s="632"/>
      <c r="H8" s="632"/>
      <c r="I8" s="632"/>
      <c r="J8" s="632"/>
      <c r="K8" s="632"/>
      <c r="L8" s="632"/>
    </row>
    <row r="9" spans="1:12" x14ac:dyDescent="0.25">
      <c r="A9" s="624" t="s">
        <v>4</v>
      </c>
      <c r="B9" s="624"/>
      <c r="C9" s="624"/>
      <c r="D9" s="624"/>
      <c r="E9" s="624"/>
      <c r="F9" s="624"/>
      <c r="G9" s="624"/>
      <c r="H9" s="624"/>
      <c r="I9" s="624"/>
      <c r="J9" s="624"/>
      <c r="K9" s="624"/>
      <c r="L9" s="624"/>
    </row>
    <row r="10" spans="1:12" x14ac:dyDescent="0.25">
      <c r="A10" s="632" t="s">
        <v>5</v>
      </c>
      <c r="B10" s="632"/>
      <c r="C10" s="632"/>
      <c r="D10" s="632"/>
      <c r="E10" s="632"/>
      <c r="F10" s="632"/>
      <c r="G10" s="632"/>
      <c r="H10" s="632"/>
      <c r="I10" s="632"/>
      <c r="J10" s="632"/>
      <c r="K10" s="632"/>
      <c r="L10" s="632"/>
    </row>
    <row r="11" spans="1:12" x14ac:dyDescent="0.25">
      <c r="A11" s="624" t="s">
        <v>6</v>
      </c>
      <c r="B11" s="624"/>
      <c r="C11" s="624"/>
      <c r="D11" s="624"/>
      <c r="E11" s="624"/>
      <c r="F11" s="624"/>
      <c r="G11" s="624"/>
      <c r="H11" s="624"/>
      <c r="I11" s="624"/>
      <c r="J11" s="624"/>
      <c r="K11" s="624"/>
      <c r="L11" s="624"/>
    </row>
    <row r="12" spans="1:12" x14ac:dyDescent="0.25">
      <c r="A12" s="624" t="s">
        <v>7</v>
      </c>
      <c r="B12" s="624"/>
      <c r="C12" s="624"/>
      <c r="D12" s="624"/>
      <c r="E12" s="624"/>
      <c r="F12" s="624"/>
      <c r="G12" s="624"/>
      <c r="H12" s="624"/>
      <c r="I12" s="624"/>
      <c r="J12" s="624"/>
      <c r="K12" s="624"/>
      <c r="L12" s="624"/>
    </row>
    <row r="13" spans="1:12" x14ac:dyDescent="0.25">
      <c r="A13" s="624" t="s">
        <v>8</v>
      </c>
      <c r="B13" s="624"/>
      <c r="C13" s="624"/>
      <c r="D13" s="624"/>
      <c r="E13" s="624"/>
      <c r="F13" s="624"/>
      <c r="G13" s="624"/>
      <c r="H13" s="624"/>
      <c r="I13" s="624"/>
      <c r="J13" s="624"/>
      <c r="K13" s="624"/>
      <c r="L13" s="624"/>
    </row>
    <row r="14" spans="1:12" x14ac:dyDescent="0.25">
      <c r="A14" s="624" t="s">
        <v>9</v>
      </c>
      <c r="B14" s="624"/>
      <c r="C14" s="624"/>
      <c r="D14" s="624"/>
      <c r="E14" s="624"/>
      <c r="F14" s="624"/>
      <c r="G14" s="624"/>
      <c r="H14" s="624"/>
      <c r="I14" s="624"/>
      <c r="J14" s="624"/>
      <c r="K14" s="624"/>
      <c r="L14" s="624"/>
    </row>
    <row r="15" spans="1:12" x14ac:dyDescent="0.25">
      <c r="A15" s="632" t="s">
        <v>10</v>
      </c>
      <c r="B15" s="632"/>
      <c r="C15" s="632"/>
      <c r="D15" s="632"/>
      <c r="E15" s="632"/>
      <c r="F15" s="632"/>
      <c r="G15" s="632"/>
      <c r="H15" s="632"/>
      <c r="I15" s="632"/>
      <c r="J15" s="632"/>
      <c r="K15" s="632"/>
      <c r="L15" s="632"/>
    </row>
    <row r="16" spans="1:12" x14ac:dyDescent="0.25">
      <c r="A16" s="632" t="s">
        <v>11</v>
      </c>
      <c r="B16" s="632"/>
      <c r="C16" s="632"/>
      <c r="D16" s="632"/>
      <c r="E16" s="632"/>
      <c r="F16" s="632"/>
      <c r="G16" s="632"/>
      <c r="H16" s="632"/>
      <c r="I16" s="632"/>
      <c r="J16" s="632"/>
      <c r="K16" s="632"/>
      <c r="L16" s="632"/>
    </row>
    <row r="17" spans="1:12" ht="14.45" customHeight="1" x14ac:dyDescent="0.25">
      <c r="A17" s="633" t="s">
        <v>12</v>
      </c>
      <c r="B17" s="633"/>
      <c r="C17" s="633"/>
      <c r="D17" s="633"/>
      <c r="E17" s="633"/>
      <c r="F17" s="633"/>
      <c r="G17" s="633"/>
      <c r="H17" s="633"/>
      <c r="I17" s="633"/>
      <c r="J17" s="633"/>
      <c r="K17" s="633"/>
      <c r="L17" s="633"/>
    </row>
    <row r="18" spans="1:12" ht="14.45" customHeight="1" x14ac:dyDescent="0.25">
      <c r="A18" s="627" t="s">
        <v>13</v>
      </c>
      <c r="B18" s="627"/>
      <c r="C18" s="627"/>
      <c r="D18" s="627"/>
      <c r="E18" s="246"/>
      <c r="F18" s="246"/>
      <c r="G18" s="246"/>
      <c r="H18" s="246"/>
      <c r="I18" s="246"/>
      <c r="J18" s="246"/>
      <c r="K18" s="246"/>
      <c r="L18" s="246"/>
    </row>
    <row r="19" spans="1:12" x14ac:dyDescent="0.25">
      <c r="A19" s="247" t="s">
        <v>14</v>
      </c>
      <c r="B19" s="628"/>
      <c r="C19" s="628"/>
      <c r="D19" s="628"/>
      <c r="E19" s="628"/>
      <c r="F19" s="628"/>
      <c r="G19" s="628"/>
      <c r="H19" s="628"/>
      <c r="I19" s="628"/>
      <c r="J19" s="628"/>
      <c r="K19" s="628"/>
      <c r="L19" s="628"/>
    </row>
    <row r="20" spans="1:12" x14ac:dyDescent="0.25">
      <c r="A20" s="630" t="s">
        <v>15</v>
      </c>
      <c r="B20" s="630"/>
      <c r="C20" s="630"/>
      <c r="D20" s="630"/>
      <c r="E20" s="630"/>
      <c r="F20" s="630"/>
      <c r="G20" s="630"/>
      <c r="H20" s="630"/>
      <c r="I20" s="630"/>
      <c r="J20" s="630"/>
      <c r="K20" s="630"/>
      <c r="L20" s="630"/>
    </row>
    <row r="21" spans="1:12" x14ac:dyDescent="0.25">
      <c r="A21" s="630" t="s">
        <v>5</v>
      </c>
      <c r="B21" s="630"/>
      <c r="C21" s="630"/>
      <c r="D21" s="630"/>
      <c r="E21" s="630"/>
      <c r="F21" s="630"/>
      <c r="G21" s="630"/>
      <c r="H21" s="630"/>
      <c r="I21" s="630"/>
      <c r="J21" s="630"/>
      <c r="K21" s="630"/>
      <c r="L21" s="630"/>
    </row>
    <row r="22" spans="1:12" x14ac:dyDescent="0.25">
      <c r="A22" s="630" t="s">
        <v>10</v>
      </c>
      <c r="B22" s="630"/>
      <c r="C22" s="630"/>
      <c r="D22" s="630"/>
      <c r="E22" s="630"/>
      <c r="F22" s="630"/>
      <c r="G22" s="630"/>
      <c r="H22" s="630"/>
      <c r="I22" s="630"/>
      <c r="J22" s="630"/>
      <c r="K22" s="630"/>
      <c r="L22" s="630"/>
    </row>
    <row r="23" spans="1:12" x14ac:dyDescent="0.25">
      <c r="A23" s="630" t="s">
        <v>16</v>
      </c>
      <c r="B23" s="630"/>
      <c r="C23" s="630"/>
      <c r="D23" s="630"/>
      <c r="E23" s="630"/>
      <c r="F23" s="630"/>
      <c r="G23" s="630"/>
      <c r="H23" s="630"/>
      <c r="I23" s="630"/>
      <c r="J23" s="630"/>
      <c r="K23" s="630"/>
      <c r="L23" s="630"/>
    </row>
    <row r="24" spans="1:12" ht="14.45" customHeight="1" x14ac:dyDescent="0.25">
      <c r="A24" s="630" t="s">
        <v>17</v>
      </c>
      <c r="B24" s="630"/>
      <c r="C24" s="630"/>
      <c r="D24" s="630"/>
      <c r="E24" s="630"/>
      <c r="F24" s="630"/>
      <c r="G24" s="630"/>
      <c r="H24" s="630"/>
      <c r="I24" s="630"/>
      <c r="J24" s="630"/>
      <c r="K24" s="630"/>
      <c r="L24" s="630"/>
    </row>
    <row r="25" spans="1:12" ht="14.45" customHeight="1" x14ac:dyDescent="0.25">
      <c r="A25" s="631" t="s">
        <v>18</v>
      </c>
      <c r="B25" s="631"/>
      <c r="C25" s="631"/>
      <c r="D25" s="627"/>
      <c r="E25" s="627"/>
      <c r="F25" s="627"/>
      <c r="G25" s="627"/>
      <c r="H25" s="627"/>
      <c r="I25" s="627"/>
      <c r="J25" s="627"/>
      <c r="K25" s="627"/>
      <c r="L25" s="627"/>
    </row>
    <row r="26" spans="1:12" x14ac:dyDescent="0.25">
      <c r="A26" s="629" t="s">
        <v>19</v>
      </c>
      <c r="B26" s="629"/>
      <c r="C26" s="629"/>
      <c r="D26" s="629"/>
      <c r="E26" s="629"/>
      <c r="F26" s="629"/>
      <c r="G26" s="629"/>
      <c r="H26" s="629"/>
      <c r="I26" s="629"/>
      <c r="J26" s="629"/>
      <c r="K26" s="629"/>
      <c r="L26" s="629"/>
    </row>
    <row r="27" spans="1:12" x14ac:dyDescent="0.25">
      <c r="A27" s="624" t="s">
        <v>20</v>
      </c>
      <c r="B27" s="624"/>
      <c r="C27" s="624"/>
      <c r="D27" s="624"/>
      <c r="E27" s="624"/>
      <c r="F27" s="624"/>
      <c r="G27" s="624"/>
      <c r="H27" s="624"/>
      <c r="I27" s="624"/>
      <c r="J27" s="624"/>
      <c r="K27" s="624"/>
      <c r="L27" s="624"/>
    </row>
    <row r="28" spans="1:12" x14ac:dyDescent="0.25">
      <c r="A28" s="624" t="s">
        <v>21</v>
      </c>
      <c r="B28" s="624"/>
      <c r="C28" s="624"/>
      <c r="D28" s="624"/>
      <c r="E28" s="624"/>
      <c r="F28" s="624"/>
      <c r="G28" s="624"/>
      <c r="H28" s="624"/>
      <c r="I28" s="624"/>
      <c r="J28" s="624"/>
      <c r="K28" s="624"/>
      <c r="L28" s="624"/>
    </row>
    <row r="29" spans="1:12" x14ac:dyDescent="0.25">
      <c r="A29" s="624" t="s">
        <v>22</v>
      </c>
      <c r="B29" s="624"/>
      <c r="C29" s="624"/>
      <c r="D29" s="624"/>
      <c r="E29" s="624"/>
      <c r="F29" s="624"/>
      <c r="G29" s="624"/>
      <c r="H29" s="624"/>
      <c r="I29" s="624"/>
      <c r="J29" s="624"/>
      <c r="K29" s="624"/>
      <c r="L29" s="624"/>
    </row>
    <row r="30" spans="1:12" x14ac:dyDescent="0.25">
      <c r="A30" s="246" t="s">
        <v>39</v>
      </c>
      <c r="B30" s="246"/>
      <c r="C30" s="246"/>
      <c r="D30" s="246"/>
      <c r="E30" s="246"/>
      <c r="F30" s="246"/>
      <c r="G30" s="246"/>
      <c r="H30" s="246"/>
      <c r="I30" s="246"/>
      <c r="J30" s="246"/>
      <c r="K30" s="246"/>
      <c r="L30" s="246"/>
    </row>
    <row r="31" spans="1:12" x14ac:dyDescent="0.25">
      <c r="A31" s="609" t="s">
        <v>40</v>
      </c>
      <c r="B31" s="609"/>
      <c r="C31" s="609"/>
      <c r="D31" s="609"/>
      <c r="E31" s="609"/>
      <c r="F31" s="609"/>
      <c r="G31" s="609"/>
      <c r="H31" s="609"/>
      <c r="I31" s="609"/>
      <c r="J31" s="609"/>
      <c r="K31" s="609"/>
      <c r="L31" s="609"/>
    </row>
    <row r="32" spans="1:12" x14ac:dyDescent="0.25">
      <c r="A32" s="609" t="s">
        <v>254</v>
      </c>
      <c r="B32" s="609"/>
      <c r="C32" s="609"/>
      <c r="D32" s="609"/>
      <c r="E32" s="609"/>
      <c r="F32" s="609"/>
      <c r="G32" s="609"/>
      <c r="H32" s="609"/>
      <c r="I32" s="609"/>
      <c r="J32" s="609"/>
      <c r="K32" s="609"/>
      <c r="L32" s="609"/>
    </row>
    <row r="33" spans="1:12" x14ac:dyDescent="0.25">
      <c r="A33" s="609" t="s">
        <v>41</v>
      </c>
      <c r="B33" s="609"/>
      <c r="C33" s="609"/>
      <c r="D33" s="609"/>
      <c r="E33" s="609"/>
      <c r="F33" s="609"/>
      <c r="G33" s="609"/>
      <c r="H33" s="609"/>
      <c r="I33" s="609"/>
      <c r="J33" s="609"/>
      <c r="K33" s="609"/>
      <c r="L33" s="609"/>
    </row>
    <row r="34" spans="1:12" x14ac:dyDescent="0.25">
      <c r="A34" s="609" t="s">
        <v>6</v>
      </c>
      <c r="B34" s="609"/>
      <c r="C34" s="609"/>
      <c r="D34" s="609"/>
      <c r="E34" s="609"/>
      <c r="F34" s="609"/>
      <c r="G34" s="609"/>
      <c r="H34" s="609"/>
      <c r="I34" s="609"/>
      <c r="J34" s="609"/>
      <c r="K34" s="609"/>
      <c r="L34" s="609"/>
    </row>
    <row r="35" spans="1:12" x14ac:dyDescent="0.25">
      <c r="A35" s="609" t="s">
        <v>9</v>
      </c>
      <c r="B35" s="609"/>
      <c r="C35" s="609"/>
      <c r="D35" s="609"/>
      <c r="E35" s="609"/>
      <c r="F35" s="609"/>
      <c r="G35" s="609"/>
      <c r="H35" s="609"/>
      <c r="I35" s="609"/>
      <c r="J35" s="609"/>
      <c r="K35" s="609"/>
      <c r="L35" s="609"/>
    </row>
    <row r="36" spans="1:12" x14ac:dyDescent="0.25">
      <c r="A36" s="609" t="s">
        <v>8</v>
      </c>
      <c r="B36" s="609"/>
      <c r="C36" s="609"/>
      <c r="D36" s="609"/>
      <c r="E36" s="609"/>
      <c r="F36" s="609"/>
      <c r="G36" s="609"/>
      <c r="H36" s="609"/>
      <c r="I36" s="609"/>
      <c r="J36" s="609"/>
      <c r="K36" s="609"/>
      <c r="L36" s="609"/>
    </row>
    <row r="37" spans="1:12" ht="15.75" thickBot="1" x14ac:dyDescent="0.3">
      <c r="A37" s="616" t="s">
        <v>25</v>
      </c>
      <c r="B37" s="616"/>
      <c r="C37" s="616"/>
      <c r="D37" s="616"/>
      <c r="E37" s="616"/>
      <c r="F37" s="616"/>
      <c r="G37" s="616"/>
      <c r="H37" s="616"/>
      <c r="I37" s="616"/>
      <c r="J37" s="616"/>
      <c r="K37" s="616"/>
      <c r="L37" s="616"/>
    </row>
    <row r="38" spans="1:12" ht="45.75" thickBot="1" x14ac:dyDescent="0.3">
      <c r="A38" s="34" t="s">
        <v>212</v>
      </c>
      <c r="B38" s="67"/>
      <c r="C38" s="34" t="s">
        <v>213</v>
      </c>
      <c r="D38" s="67"/>
      <c r="E38" s="34" t="s">
        <v>214</v>
      </c>
      <c r="F38" s="67"/>
      <c r="G38" s="34" t="s">
        <v>215</v>
      </c>
      <c r="H38" s="67"/>
      <c r="I38" s="343" t="s">
        <v>367</v>
      </c>
      <c r="J38" s="240" t="s">
        <v>371</v>
      </c>
      <c r="K38" s="606"/>
      <c r="L38" s="608"/>
    </row>
    <row r="39" spans="1:12" ht="87" thickBot="1" x14ac:dyDescent="0.3">
      <c r="A39" s="242" t="s">
        <v>372</v>
      </c>
      <c r="B39" s="346"/>
      <c r="C39" s="242" t="s">
        <v>381</v>
      </c>
      <c r="D39" s="345"/>
      <c r="E39" s="243" t="s">
        <v>373</v>
      </c>
      <c r="F39" s="344"/>
      <c r="G39" s="242" t="s">
        <v>474</v>
      </c>
      <c r="H39" s="625"/>
      <c r="I39" s="626"/>
      <c r="J39" s="150"/>
      <c r="K39" s="150"/>
      <c r="L39" s="150"/>
    </row>
    <row r="40" spans="1:12" ht="14.45" customHeight="1" thickBot="1" x14ac:dyDescent="0.3">
      <c r="A40" s="613" t="s">
        <v>23</v>
      </c>
      <c r="B40" s="614"/>
      <c r="C40" s="613"/>
      <c r="D40" s="615"/>
      <c r="E40" s="613"/>
      <c r="F40" s="615"/>
      <c r="G40" s="613"/>
      <c r="H40" s="616"/>
      <c r="I40" s="617"/>
      <c r="J40" s="618"/>
      <c r="K40" s="619"/>
      <c r="L40" s="618"/>
    </row>
    <row r="41" spans="1:12" ht="60.75" thickBot="1" x14ac:dyDescent="0.3">
      <c r="A41" s="35" t="s">
        <v>216</v>
      </c>
      <c r="B41" s="347"/>
      <c r="C41" s="36" t="s">
        <v>217</v>
      </c>
      <c r="D41" s="347"/>
      <c r="E41" s="37" t="s">
        <v>218</v>
      </c>
      <c r="F41" s="347"/>
      <c r="G41" s="36" t="s">
        <v>219</v>
      </c>
      <c r="H41" s="347"/>
      <c r="I41" s="37" t="s">
        <v>220</v>
      </c>
      <c r="J41" s="40"/>
      <c r="K41" s="36" t="s">
        <v>221</v>
      </c>
      <c r="L41" s="40"/>
    </row>
    <row r="42" spans="1:12" ht="54.75" customHeight="1" thickBot="1" x14ac:dyDescent="0.3">
      <c r="A42" s="36" t="s">
        <v>360</v>
      </c>
      <c r="B42" s="347"/>
      <c r="C42" s="36" t="s">
        <v>361</v>
      </c>
      <c r="D42" s="40"/>
      <c r="E42" s="37" t="s">
        <v>362</v>
      </c>
      <c r="F42" s="40"/>
      <c r="G42" s="36" t="s">
        <v>363</v>
      </c>
      <c r="H42" s="347"/>
      <c r="I42" s="37" t="s">
        <v>364</v>
      </c>
      <c r="J42" s="40"/>
      <c r="K42" s="36" t="s">
        <v>365</v>
      </c>
      <c r="L42" s="40"/>
    </row>
    <row r="43" spans="1:12" x14ac:dyDescent="0.25">
      <c r="B43" s="245"/>
      <c r="D43" s="245"/>
      <c r="F43" s="245"/>
      <c r="H43" s="245"/>
    </row>
    <row r="44" spans="1:12" ht="24" customHeight="1" thickBot="1" x14ac:dyDescent="0.3">
      <c r="A44" s="38" t="s">
        <v>611</v>
      </c>
      <c r="B44" s="618" t="s">
        <v>24</v>
      </c>
      <c r="C44" s="618"/>
      <c r="D44" s="618"/>
      <c r="E44" s="619"/>
      <c r="F44" s="618"/>
      <c r="G44" s="618"/>
      <c r="H44" s="618"/>
      <c r="I44" s="619"/>
      <c r="J44" s="618"/>
      <c r="K44" s="618"/>
      <c r="L44" s="618"/>
    </row>
    <row r="45" spans="1:12" ht="72" customHeight="1" thickBot="1" x14ac:dyDescent="0.3">
      <c r="A45" s="348" t="s">
        <v>222</v>
      </c>
      <c r="B45" s="620"/>
      <c r="C45" s="621"/>
      <c r="D45" s="622"/>
      <c r="E45" s="349" t="s">
        <v>223</v>
      </c>
      <c r="F45" s="620"/>
      <c r="G45" s="621"/>
      <c r="H45" s="622"/>
      <c r="I45" s="349" t="s">
        <v>366</v>
      </c>
      <c r="J45" s="606"/>
      <c r="K45" s="607"/>
      <c r="L45" s="608"/>
    </row>
    <row r="46" spans="1:12" ht="15.75" thickBot="1" x14ac:dyDescent="0.3">
      <c r="A46" s="244"/>
      <c r="B46" s="623"/>
      <c r="C46" s="623"/>
      <c r="D46" s="623"/>
      <c r="F46" s="623"/>
      <c r="G46" s="623"/>
      <c r="H46" s="623"/>
    </row>
    <row r="47" spans="1:12" ht="43.5" customHeight="1" thickBot="1" x14ac:dyDescent="0.3">
      <c r="A47" s="350" t="s">
        <v>26</v>
      </c>
      <c r="B47" s="610" t="s">
        <v>24</v>
      </c>
      <c r="C47" s="611"/>
      <c r="D47" s="612"/>
      <c r="E47" s="39" t="s">
        <v>27</v>
      </c>
      <c r="F47" s="610"/>
      <c r="G47" s="611"/>
      <c r="H47" s="612"/>
      <c r="I47" s="39" t="s">
        <v>28</v>
      </c>
      <c r="J47" s="606"/>
      <c r="K47" s="607"/>
      <c r="L47" s="608"/>
    </row>
    <row r="48" spans="1:12" ht="45" customHeight="1" thickBot="1" x14ac:dyDescent="0.3">
      <c r="A48" s="350" t="s">
        <v>29</v>
      </c>
      <c r="B48" s="610" t="s">
        <v>24</v>
      </c>
      <c r="C48" s="611"/>
      <c r="D48" s="612"/>
      <c r="F48" s="616"/>
      <c r="G48" s="616"/>
      <c r="H48" s="616"/>
    </row>
  </sheetData>
  <mergeCells count="49">
    <mergeCell ref="K4:L4"/>
    <mergeCell ref="A15:L15"/>
    <mergeCell ref="A16:L16"/>
    <mergeCell ref="A17:L17"/>
    <mergeCell ref="A10:L10"/>
    <mergeCell ref="A11:L11"/>
    <mergeCell ref="A12:L12"/>
    <mergeCell ref="A13:L13"/>
    <mergeCell ref="A14:L14"/>
    <mergeCell ref="A6:B6"/>
    <mergeCell ref="C6:L6"/>
    <mergeCell ref="A7:L7"/>
    <mergeCell ref="A8:L8"/>
    <mergeCell ref="A9:L9"/>
    <mergeCell ref="A18:D18"/>
    <mergeCell ref="B19:L19"/>
    <mergeCell ref="A26:L26"/>
    <mergeCell ref="A27:L27"/>
    <mergeCell ref="A28:L28"/>
    <mergeCell ref="A20:L20"/>
    <mergeCell ref="A21:L21"/>
    <mergeCell ref="A22:L22"/>
    <mergeCell ref="A23:L23"/>
    <mergeCell ref="A24:L24"/>
    <mergeCell ref="A25:C25"/>
    <mergeCell ref="D25:L25"/>
    <mergeCell ref="A29:L29"/>
    <mergeCell ref="B44:L44"/>
    <mergeCell ref="A34:L34"/>
    <mergeCell ref="A35:L35"/>
    <mergeCell ref="A36:L36"/>
    <mergeCell ref="A37:L37"/>
    <mergeCell ref="K38:L38"/>
    <mergeCell ref="H39:I39"/>
    <mergeCell ref="B48:D48"/>
    <mergeCell ref="F48:H48"/>
    <mergeCell ref="B45:D45"/>
    <mergeCell ref="F45:H45"/>
    <mergeCell ref="B46:D46"/>
    <mergeCell ref="F46:H46"/>
    <mergeCell ref="J45:L45"/>
    <mergeCell ref="J47:L47"/>
    <mergeCell ref="A31:L31"/>
    <mergeCell ref="A32:L32"/>
    <mergeCell ref="A33:L33"/>
    <mergeCell ref="B47:D47"/>
    <mergeCell ref="F47:H47"/>
    <mergeCell ref="A40:G40"/>
    <mergeCell ref="H40:L40"/>
  </mergeCells>
  <hyperlinks>
    <hyperlink ref="K4:L4" location="Índice!A1" display="Voltar ao índice" xr:uid="{00000000-0004-0000-0100-000000000000}"/>
  </hyperlinks>
  <pageMargins left="0.70866141732283472" right="0.70866141732283472" top="1.3779527559055118" bottom="0.74803149606299213" header="0.31496062992125984" footer="0.31496062992125984"/>
  <pageSetup paperSize="9" scale="60" orientation="portrait" r:id="rId1"/>
  <headerFooter>
    <oddHeader>&amp;L&amp;G&amp;C
&amp;"-,Negrito"&amp;24Caderno de Campo</oddHeader>
    <oddFooter>&amp;C&amp;G</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pageSetUpPr fitToPage="1"/>
  </sheetPr>
  <dimension ref="A1:K21"/>
  <sheetViews>
    <sheetView showGridLines="0" showRuler="0" view="pageLayout" zoomScaleNormal="100" workbookViewId="0">
      <selection activeCell="K12" sqref="K12"/>
    </sheetView>
  </sheetViews>
  <sheetFormatPr defaultRowHeight="15" x14ac:dyDescent="0.25"/>
  <cols>
    <col min="2" max="2" width="10.5703125" customWidth="1"/>
    <col min="3" max="3" width="11.85546875" customWidth="1"/>
    <col min="4" max="4" width="13.140625" customWidth="1"/>
    <col min="5" max="5" width="14.5703125" customWidth="1"/>
    <col min="8" max="8" width="16.85546875" customWidth="1"/>
    <col min="9" max="9" width="11" customWidth="1"/>
    <col min="10" max="10" width="12.140625" customWidth="1"/>
    <col min="11" max="11" width="19" customWidth="1"/>
    <col min="12" max="12" width="14.42578125" customWidth="1"/>
    <col min="13" max="13" width="13.5703125" customWidth="1"/>
  </cols>
  <sheetData>
    <row r="1" spans="1:11" ht="32.25" customHeight="1" x14ac:dyDescent="0.25"/>
    <row r="2" spans="1:11" ht="17.25" x14ac:dyDescent="0.3">
      <c r="A2" s="650" t="s">
        <v>473</v>
      </c>
      <c r="B2" s="650"/>
      <c r="C2" s="650"/>
      <c r="D2" s="650"/>
      <c r="E2" s="650"/>
      <c r="J2" s="604" t="s">
        <v>375</v>
      </c>
      <c r="K2" s="604"/>
    </row>
    <row r="4" spans="1:11" ht="15.75" thickBot="1" x14ac:dyDescent="0.3"/>
    <row r="5" spans="1:11" ht="30.6" customHeight="1" x14ac:dyDescent="0.25">
      <c r="A5" s="651" t="s">
        <v>137</v>
      </c>
      <c r="B5" s="639" t="s">
        <v>30</v>
      </c>
      <c r="C5" s="636" t="s">
        <v>31</v>
      </c>
      <c r="D5" s="639" t="s">
        <v>42</v>
      </c>
      <c r="E5" s="636" t="s">
        <v>43</v>
      </c>
      <c r="F5" s="639" t="s">
        <v>32</v>
      </c>
      <c r="G5" s="636" t="s">
        <v>33</v>
      </c>
      <c r="H5" s="639" t="s">
        <v>166</v>
      </c>
      <c r="I5" s="427" t="s">
        <v>34</v>
      </c>
      <c r="J5" s="642" t="s">
        <v>35</v>
      </c>
      <c r="K5" s="645" t="s">
        <v>36</v>
      </c>
    </row>
    <row r="6" spans="1:11" x14ac:dyDescent="0.25">
      <c r="A6" s="652"/>
      <c r="B6" s="640"/>
      <c r="C6" s="637"/>
      <c r="D6" s="640"/>
      <c r="E6" s="637"/>
      <c r="F6" s="640"/>
      <c r="G6" s="637"/>
      <c r="H6" s="640"/>
      <c r="I6" s="648" t="s">
        <v>37</v>
      </c>
      <c r="J6" s="643"/>
      <c r="K6" s="646"/>
    </row>
    <row r="7" spans="1:11" ht="15.75" thickBot="1" x14ac:dyDescent="0.3">
      <c r="A7" s="653"/>
      <c r="B7" s="641"/>
      <c r="C7" s="638"/>
      <c r="D7" s="641"/>
      <c r="E7" s="638"/>
      <c r="F7" s="641"/>
      <c r="G7" s="638"/>
      <c r="H7" s="641"/>
      <c r="I7" s="649"/>
      <c r="J7" s="644"/>
      <c r="K7" s="647"/>
    </row>
    <row r="8" spans="1:11" x14ac:dyDescent="0.25">
      <c r="A8" s="49"/>
      <c r="B8" s="50"/>
      <c r="C8" s="51"/>
      <c r="D8" s="50"/>
      <c r="E8" s="51"/>
      <c r="F8" s="50"/>
      <c r="G8" s="52"/>
      <c r="H8" s="50"/>
      <c r="I8" s="53"/>
      <c r="J8" s="54"/>
      <c r="K8" s="55"/>
    </row>
    <row r="9" spans="1:11" x14ac:dyDescent="0.25">
      <c r="A9" s="56"/>
      <c r="B9" s="57"/>
      <c r="C9" s="52"/>
      <c r="D9" s="57"/>
      <c r="E9" s="52"/>
      <c r="F9" s="57"/>
      <c r="G9" s="52"/>
      <c r="H9" s="57"/>
      <c r="I9" s="52"/>
      <c r="J9" s="54"/>
      <c r="K9" s="55"/>
    </row>
    <row r="10" spans="1:11" x14ac:dyDescent="0.25">
      <c r="A10" s="56"/>
      <c r="B10" s="57"/>
      <c r="C10" s="52"/>
      <c r="D10" s="57"/>
      <c r="E10" s="52"/>
      <c r="F10" s="57"/>
      <c r="G10" s="52"/>
      <c r="H10" s="57"/>
      <c r="I10" s="52"/>
      <c r="J10" s="54"/>
      <c r="K10" s="55"/>
    </row>
    <row r="11" spans="1:11" x14ac:dyDescent="0.25">
      <c r="A11" s="56"/>
      <c r="B11" s="57"/>
      <c r="C11" s="51"/>
      <c r="D11" s="50"/>
      <c r="E11" s="51"/>
      <c r="F11" s="57"/>
      <c r="G11" s="52"/>
      <c r="H11" s="57"/>
      <c r="I11" s="52"/>
      <c r="J11" s="54"/>
      <c r="K11" s="55"/>
    </row>
    <row r="12" spans="1:11" x14ac:dyDescent="0.25">
      <c r="A12" s="56"/>
      <c r="B12" s="57"/>
      <c r="C12" s="51"/>
      <c r="D12" s="50"/>
      <c r="E12" s="51"/>
      <c r="F12" s="57"/>
      <c r="G12" s="52"/>
      <c r="H12" s="57"/>
      <c r="I12" s="52"/>
      <c r="J12" s="54"/>
      <c r="K12" s="58"/>
    </row>
    <row r="13" spans="1:11" x14ac:dyDescent="0.25">
      <c r="A13" s="56"/>
      <c r="B13" s="57"/>
      <c r="C13" s="52"/>
      <c r="D13" s="57"/>
      <c r="E13" s="52"/>
      <c r="F13" s="57"/>
      <c r="G13" s="52"/>
      <c r="H13" s="57"/>
      <c r="I13" s="52"/>
      <c r="J13" s="54"/>
      <c r="K13" s="58"/>
    </row>
    <row r="14" spans="1:11" x14ac:dyDescent="0.25">
      <c r="A14" s="59"/>
      <c r="B14" s="54"/>
      <c r="C14" s="60"/>
      <c r="D14" s="54"/>
      <c r="E14" s="60"/>
      <c r="F14" s="54"/>
      <c r="G14" s="60"/>
      <c r="H14" s="57"/>
      <c r="I14" s="52"/>
      <c r="J14" s="54"/>
      <c r="K14" s="61"/>
    </row>
    <row r="15" spans="1:11" x14ac:dyDescent="0.25">
      <c r="A15" s="59"/>
      <c r="B15" s="54"/>
      <c r="C15" s="60"/>
      <c r="D15" s="54"/>
      <c r="E15" s="60"/>
      <c r="F15" s="54"/>
      <c r="G15" s="60"/>
      <c r="H15" s="57"/>
      <c r="I15" s="52"/>
      <c r="J15" s="54"/>
      <c r="K15" s="61"/>
    </row>
    <row r="16" spans="1:11" x14ac:dyDescent="0.25">
      <c r="A16" s="59"/>
      <c r="B16" s="54"/>
      <c r="C16" s="60"/>
      <c r="D16" s="54"/>
      <c r="E16" s="60"/>
      <c r="F16" s="54"/>
      <c r="G16" s="60"/>
      <c r="H16" s="54"/>
      <c r="I16" s="60"/>
      <c r="J16" s="54"/>
      <c r="K16" s="61"/>
    </row>
    <row r="17" spans="1:11" x14ac:dyDescent="0.25">
      <c r="A17" s="59"/>
      <c r="B17" s="54"/>
      <c r="C17" s="60"/>
      <c r="D17" s="54"/>
      <c r="E17" s="60"/>
      <c r="F17" s="54"/>
      <c r="G17" s="60"/>
      <c r="H17" s="54"/>
      <c r="I17" s="60"/>
      <c r="J17" s="54"/>
      <c r="K17" s="61"/>
    </row>
    <row r="18" spans="1:11" ht="15.75" thickBot="1" x14ac:dyDescent="0.3">
      <c r="A18" s="62"/>
      <c r="B18" s="63"/>
      <c r="C18" s="64"/>
      <c r="D18" s="63"/>
      <c r="E18" s="64"/>
      <c r="F18" s="63"/>
      <c r="G18" s="64"/>
      <c r="H18" s="63"/>
      <c r="I18" s="64"/>
      <c r="J18" s="63"/>
      <c r="K18" s="65"/>
    </row>
    <row r="21" spans="1:11" x14ac:dyDescent="0.25">
      <c r="A21" s="4"/>
    </row>
  </sheetData>
  <mergeCells count="13">
    <mergeCell ref="G5:G7"/>
    <mergeCell ref="C5:C7"/>
    <mergeCell ref="D5:D7"/>
    <mergeCell ref="J2:K2"/>
    <mergeCell ref="H5:H7"/>
    <mergeCell ref="J5:J7"/>
    <mergeCell ref="K5:K7"/>
    <mergeCell ref="I6:I7"/>
    <mergeCell ref="A2:E2"/>
    <mergeCell ref="A5:A7"/>
    <mergeCell ref="B5:B7"/>
    <mergeCell ref="E5:E7"/>
    <mergeCell ref="F5:F7"/>
  </mergeCells>
  <hyperlinks>
    <hyperlink ref="J2:K2" location="Índice!A1" display="Voltar ao índice" xr:uid="{00000000-0004-0000-0200-000000000000}"/>
  </hyperlinks>
  <pageMargins left="0.70866141732283472" right="0.70866141732283472" top="1.3779527559055118" bottom="0.74803149606299213" header="0.31496062992125984" footer="0.31496062992125984"/>
  <pageSetup paperSize="9" scale="63" orientation="portrait" r:id="rId1"/>
  <headerFooter>
    <oddHeader>&amp;L&amp;G&amp;C&amp;"-,Negrito"
&amp;24Caderno de Campo</oddHeader>
    <oddFooter>&amp;C&amp;G</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pageSetUpPr fitToPage="1"/>
  </sheetPr>
  <dimension ref="A4:H14"/>
  <sheetViews>
    <sheetView showGridLines="0" showRuler="0" view="pageLayout" zoomScale="80" zoomScaleNormal="100" zoomScalePageLayoutView="80" workbookViewId="0">
      <selection activeCell="G24" sqref="G24"/>
    </sheetView>
  </sheetViews>
  <sheetFormatPr defaultColWidth="9.140625" defaultRowHeight="15" x14ac:dyDescent="0.25"/>
  <cols>
    <col min="1" max="1" width="20.5703125" customWidth="1"/>
    <col min="2" max="2" width="17" customWidth="1"/>
    <col min="3" max="3" width="15.42578125" customWidth="1"/>
    <col min="4" max="4" width="17.140625" customWidth="1"/>
    <col min="5" max="5" width="18.140625" customWidth="1"/>
    <col min="6" max="6" width="16.140625" customWidth="1"/>
    <col min="7" max="7" width="12.5703125" customWidth="1"/>
    <col min="8" max="8" width="12.140625" customWidth="1"/>
    <col min="10" max="10" width="12.5703125" customWidth="1"/>
    <col min="11" max="11" width="9.5703125" customWidth="1"/>
    <col min="12" max="12" width="11.42578125" customWidth="1"/>
  </cols>
  <sheetData>
    <row r="4" spans="1:8" ht="17.25" x14ac:dyDescent="0.3">
      <c r="A4" s="661" t="s">
        <v>577</v>
      </c>
      <c r="B4" s="661"/>
      <c r="C4" s="661"/>
      <c r="D4" s="661"/>
      <c r="G4" s="604" t="s">
        <v>375</v>
      </c>
      <c r="H4" s="604"/>
    </row>
    <row r="6" spans="1:8" ht="15.75" thickBot="1" x14ac:dyDescent="0.3"/>
    <row r="7" spans="1:8" ht="15" customHeight="1" x14ac:dyDescent="0.25">
      <c r="A7" s="654" t="s">
        <v>44</v>
      </c>
      <c r="B7" s="654" t="s">
        <v>45</v>
      </c>
      <c r="C7" s="654" t="s">
        <v>397</v>
      </c>
      <c r="D7" s="654" t="s">
        <v>477</v>
      </c>
      <c r="E7" s="657" t="s">
        <v>46</v>
      </c>
      <c r="F7" s="658"/>
      <c r="G7" s="654" t="s">
        <v>48</v>
      </c>
      <c r="H7" s="654" t="s">
        <v>49</v>
      </c>
    </row>
    <row r="8" spans="1:8" ht="15" customHeight="1" thickBot="1" x14ac:dyDescent="0.3">
      <c r="A8" s="655"/>
      <c r="B8" s="655"/>
      <c r="C8" s="655"/>
      <c r="D8" s="655"/>
      <c r="E8" s="659"/>
      <c r="F8" s="660"/>
      <c r="G8" s="655"/>
      <c r="H8" s="655"/>
    </row>
    <row r="9" spans="1:8" ht="15.75" thickBot="1" x14ac:dyDescent="0.3">
      <c r="A9" s="656"/>
      <c r="B9" s="656"/>
      <c r="C9" s="656"/>
      <c r="D9" s="656"/>
      <c r="E9" s="426" t="s">
        <v>52</v>
      </c>
      <c r="F9" s="426" t="s">
        <v>53</v>
      </c>
      <c r="G9" s="656"/>
      <c r="H9" s="656"/>
    </row>
    <row r="10" spans="1:8" ht="15.75" thickBot="1" x14ac:dyDescent="0.3">
      <c r="A10" s="41"/>
      <c r="B10" s="42"/>
      <c r="C10" s="42"/>
      <c r="D10" s="42"/>
      <c r="E10" s="42"/>
      <c r="F10" s="42"/>
      <c r="G10" s="42"/>
      <c r="H10" s="43"/>
    </row>
    <row r="11" spans="1:8" ht="15.75" thickBot="1" x14ac:dyDescent="0.3">
      <c r="A11" s="44"/>
      <c r="B11" s="45"/>
      <c r="C11" s="45"/>
      <c r="D11" s="45"/>
      <c r="E11" s="45"/>
      <c r="F11" s="45"/>
      <c r="G11" s="46"/>
      <c r="H11" s="47"/>
    </row>
    <row r="12" spans="1:8" ht="15.75" thickBot="1" x14ac:dyDescent="0.3">
      <c r="A12" s="44"/>
      <c r="B12" s="45"/>
      <c r="C12" s="45"/>
      <c r="D12" s="45"/>
      <c r="E12" s="45"/>
      <c r="F12" s="45"/>
      <c r="G12" s="46"/>
      <c r="H12" s="47"/>
    </row>
    <row r="13" spans="1:8" ht="15.75" thickBot="1" x14ac:dyDescent="0.3">
      <c r="A13" s="44"/>
      <c r="B13" s="45"/>
      <c r="C13" s="45"/>
      <c r="D13" s="45"/>
      <c r="E13" s="45"/>
      <c r="F13" s="45"/>
      <c r="G13" s="46"/>
      <c r="H13" s="47"/>
    </row>
    <row r="14" spans="1:8" ht="15.75" thickBot="1" x14ac:dyDescent="0.3">
      <c r="A14" s="44"/>
      <c r="B14" s="45"/>
      <c r="C14" s="45"/>
      <c r="D14" s="45"/>
      <c r="E14" s="45"/>
      <c r="F14" s="45"/>
      <c r="G14" s="46"/>
      <c r="H14" s="47"/>
    </row>
  </sheetData>
  <mergeCells count="9">
    <mergeCell ref="G4:H4"/>
    <mergeCell ref="H7:H9"/>
    <mergeCell ref="A7:A9"/>
    <mergeCell ref="B7:B9"/>
    <mergeCell ref="E7:F8"/>
    <mergeCell ref="G7:G9"/>
    <mergeCell ref="D7:D9"/>
    <mergeCell ref="C7:C9"/>
    <mergeCell ref="A4:D4"/>
  </mergeCells>
  <hyperlinks>
    <hyperlink ref="G4:H4" location="Índice!A1" display="Voltar ao índice" xr:uid="{00000000-0004-0000-0300-000000000000}"/>
  </hyperlinks>
  <pageMargins left="0.70866141732283472" right="0.70866141732283472" top="1.3779527559055118" bottom="0.74803149606299213" header="0.31496062992125984" footer="0.31496062992125984"/>
  <pageSetup paperSize="9" orientation="landscape" r:id="rId1"/>
  <headerFooter>
    <oddHeader>&amp;L&amp;G&amp;C&amp;"-,Negrito"
&amp;24Caderno de Campo</oddHeader>
    <oddFooter>&amp;C&amp;G</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A2:Q25"/>
  <sheetViews>
    <sheetView showGridLines="0" showRuler="0" view="pageLayout" zoomScale="80" zoomScaleNormal="100" zoomScalePageLayoutView="80" workbookViewId="0">
      <selection activeCell="N2" sqref="N2:O2"/>
    </sheetView>
  </sheetViews>
  <sheetFormatPr defaultRowHeight="15" x14ac:dyDescent="0.25"/>
  <cols>
    <col min="1" max="1" width="13.5703125" customWidth="1"/>
    <col min="2" max="2" width="12.140625" customWidth="1"/>
    <col min="3" max="3" width="10.140625" customWidth="1"/>
    <col min="4" max="4" width="14" customWidth="1"/>
    <col min="5" max="5" width="12.42578125" customWidth="1"/>
    <col min="6" max="6" width="13.5703125" customWidth="1"/>
    <col min="7" max="7" width="13.7109375" customWidth="1"/>
    <col min="8" max="8" width="13.5703125" customWidth="1"/>
    <col min="9" max="9" width="13.28515625" customWidth="1"/>
    <col min="10" max="10" width="16.42578125" customWidth="1"/>
    <col min="11" max="11" width="14.42578125" customWidth="1"/>
    <col min="12" max="12" width="10.5703125" customWidth="1"/>
    <col min="13" max="13" width="9.5703125" customWidth="1"/>
    <col min="14" max="14" width="20.140625" customWidth="1"/>
    <col min="15" max="15" width="17.140625" customWidth="1"/>
    <col min="16" max="16" width="18.5703125" customWidth="1"/>
    <col min="17" max="17" width="17.5703125" customWidth="1"/>
  </cols>
  <sheetData>
    <row r="2" spans="1:17" ht="17.25" x14ac:dyDescent="0.3">
      <c r="A2" s="661" t="s">
        <v>385</v>
      </c>
      <c r="B2" s="661"/>
      <c r="C2" s="661"/>
      <c r="D2" s="661"/>
      <c r="E2" s="661"/>
      <c r="N2" s="604" t="s">
        <v>375</v>
      </c>
      <c r="O2" s="604"/>
    </row>
    <row r="3" spans="1:17" x14ac:dyDescent="0.25">
      <c r="A3" s="1"/>
      <c r="B3" s="1"/>
      <c r="C3" s="1"/>
    </row>
    <row r="4" spans="1:17" ht="15.75" thickBot="1" x14ac:dyDescent="0.3">
      <c r="D4" s="353" t="s">
        <v>32</v>
      </c>
    </row>
    <row r="5" spans="1:17" ht="48.6" customHeight="1" thickBot="1" x14ac:dyDescent="0.3">
      <c r="A5" s="355" t="s">
        <v>60</v>
      </c>
      <c r="B5" s="111"/>
      <c r="D5" s="189"/>
      <c r="E5" s="690" t="s">
        <v>61</v>
      </c>
      <c r="F5" s="690"/>
      <c r="G5" s="40"/>
      <c r="H5" s="146"/>
      <c r="I5" s="692" t="s">
        <v>609</v>
      </c>
      <c r="J5" s="692"/>
      <c r="K5" s="693"/>
      <c r="L5" s="606"/>
      <c r="M5" s="608"/>
    </row>
    <row r="6" spans="1:17" x14ac:dyDescent="0.25">
      <c r="A6" s="113"/>
    </row>
    <row r="7" spans="1:17" ht="15" customHeight="1" thickBot="1" x14ac:dyDescent="0.3">
      <c r="A7" s="662" t="s">
        <v>62</v>
      </c>
      <c r="B7" s="662"/>
      <c r="C7" s="68"/>
      <c r="D7" s="691"/>
      <c r="E7" s="691"/>
      <c r="H7" s="66"/>
    </row>
    <row r="8" spans="1:17" ht="23.45" customHeight="1" thickBot="1" x14ac:dyDescent="0.3">
      <c r="A8" s="662" t="s">
        <v>63</v>
      </c>
      <c r="B8" s="662"/>
      <c r="C8" s="662"/>
      <c r="D8" s="662"/>
      <c r="E8" s="662"/>
      <c r="F8" s="662"/>
      <c r="G8" s="67"/>
      <c r="H8" s="66"/>
    </row>
    <row r="9" spans="1:17" x14ac:dyDescent="0.25">
      <c r="A9" s="114"/>
      <c r="B9" s="114"/>
      <c r="E9" s="114"/>
      <c r="F9" s="114"/>
      <c r="G9" s="66"/>
      <c r="H9" s="66"/>
    </row>
    <row r="10" spans="1:17" x14ac:dyDescent="0.25">
      <c r="A10" s="114"/>
      <c r="B10" s="114"/>
      <c r="E10" s="66" t="s">
        <v>64</v>
      </c>
      <c r="H10" s="66" t="s">
        <v>64</v>
      </c>
      <c r="I10" s="66"/>
    </row>
    <row r="11" spans="1:17" x14ac:dyDescent="0.25">
      <c r="A11" s="108" t="s">
        <v>65</v>
      </c>
      <c r="B11" s="68"/>
      <c r="C11" s="18" t="s">
        <v>66</v>
      </c>
      <c r="D11" s="117"/>
      <c r="E11" s="66" t="s">
        <v>384</v>
      </c>
      <c r="F11" s="18" t="s">
        <v>67</v>
      </c>
      <c r="G11" s="117"/>
      <c r="H11" s="66" t="s">
        <v>384</v>
      </c>
      <c r="I11" s="66"/>
    </row>
    <row r="13" spans="1:17" ht="15.75" thickBot="1" x14ac:dyDescent="0.3">
      <c r="A13" s="69"/>
      <c r="B13" s="69"/>
      <c r="C13" s="69"/>
      <c r="D13" s="69"/>
      <c r="E13" s="69"/>
      <c r="F13" s="69"/>
      <c r="G13" s="69"/>
      <c r="H13" s="69"/>
      <c r="I13" s="69"/>
      <c r="J13" s="69"/>
      <c r="K13" s="69"/>
      <c r="L13" s="69"/>
      <c r="M13" s="69"/>
      <c r="N13" s="22"/>
      <c r="O13" s="22"/>
      <c r="P13" s="29"/>
    </row>
    <row r="14" spans="1:17" ht="42.6" customHeight="1" thickBot="1" x14ac:dyDescent="0.3">
      <c r="A14" s="666" t="s">
        <v>68</v>
      </c>
      <c r="B14" s="669" t="s">
        <v>69</v>
      </c>
      <c r="C14" s="669" t="s">
        <v>502</v>
      </c>
      <c r="D14" s="669" t="s">
        <v>70</v>
      </c>
      <c r="E14" s="669" t="s">
        <v>348</v>
      </c>
      <c r="F14" s="663" t="s">
        <v>503</v>
      </c>
      <c r="G14" s="681" t="s">
        <v>71</v>
      </c>
      <c r="H14" s="684" t="s">
        <v>386</v>
      </c>
      <c r="I14" s="685"/>
      <c r="J14" s="685"/>
      <c r="K14" s="685"/>
      <c r="L14" s="686"/>
      <c r="M14" s="687"/>
      <c r="N14" s="673" t="s">
        <v>252</v>
      </c>
      <c r="O14" s="674"/>
      <c r="P14" s="27"/>
      <c r="Q14" s="30"/>
    </row>
    <row r="15" spans="1:17" ht="37.5" customHeight="1" x14ac:dyDescent="0.25">
      <c r="A15" s="667"/>
      <c r="B15" s="670"/>
      <c r="C15" s="670"/>
      <c r="D15" s="670"/>
      <c r="E15" s="670"/>
      <c r="F15" s="664"/>
      <c r="G15" s="682"/>
      <c r="H15" s="423" t="s">
        <v>73</v>
      </c>
      <c r="I15" s="669" t="s">
        <v>505</v>
      </c>
      <c r="J15" s="669" t="s">
        <v>564</v>
      </c>
      <c r="K15" s="663" t="s">
        <v>74</v>
      </c>
      <c r="L15" s="688" t="s">
        <v>610</v>
      </c>
      <c r="M15" s="679" t="s">
        <v>75</v>
      </c>
      <c r="N15" s="675" t="s">
        <v>251</v>
      </c>
      <c r="O15" s="677" t="s">
        <v>250</v>
      </c>
      <c r="P15" s="2"/>
      <c r="Q15" s="30"/>
    </row>
    <row r="16" spans="1:17" ht="50.45" customHeight="1" thickBot="1" x14ac:dyDescent="0.3">
      <c r="A16" s="668"/>
      <c r="B16" s="671"/>
      <c r="C16" s="671"/>
      <c r="D16" s="671"/>
      <c r="E16" s="671"/>
      <c r="F16" s="665"/>
      <c r="G16" s="683"/>
      <c r="H16" s="424" t="s">
        <v>504</v>
      </c>
      <c r="I16" s="671"/>
      <c r="J16" s="672"/>
      <c r="K16" s="665"/>
      <c r="L16" s="689"/>
      <c r="M16" s="680"/>
      <c r="N16" s="676"/>
      <c r="O16" s="678"/>
      <c r="P16" s="2"/>
      <c r="Q16" s="30"/>
    </row>
    <row r="17" spans="1:17" x14ac:dyDescent="0.25">
      <c r="A17" s="561"/>
      <c r="B17" s="72"/>
      <c r="C17" s="73"/>
      <c r="D17" s="74"/>
      <c r="E17" s="72"/>
      <c r="F17" s="72"/>
      <c r="G17" s="75"/>
      <c r="H17" s="76"/>
      <c r="I17" s="565"/>
      <c r="J17" s="72"/>
      <c r="K17" s="72"/>
      <c r="L17" s="568"/>
      <c r="M17" s="77"/>
      <c r="N17" s="78"/>
      <c r="O17" s="79"/>
      <c r="P17" s="25"/>
    </row>
    <row r="18" spans="1:17" x14ac:dyDescent="0.25">
      <c r="A18" s="562"/>
      <c r="B18" s="80"/>
      <c r="C18" s="81"/>
      <c r="D18" s="82"/>
      <c r="E18" s="80"/>
      <c r="F18" s="80"/>
      <c r="G18" s="83"/>
      <c r="H18" s="84"/>
      <c r="I18" s="117"/>
      <c r="J18" s="80"/>
      <c r="K18" s="80"/>
      <c r="L18" s="117"/>
      <c r="M18" s="85"/>
      <c r="N18" s="86"/>
      <c r="O18" s="87"/>
      <c r="P18" s="25"/>
    </row>
    <row r="19" spans="1:17" x14ac:dyDescent="0.25">
      <c r="A19" s="562"/>
      <c r="B19" s="80"/>
      <c r="C19" s="81"/>
      <c r="D19" s="82"/>
      <c r="E19" s="80"/>
      <c r="F19" s="80"/>
      <c r="G19" s="83"/>
      <c r="H19" s="84"/>
      <c r="I19" s="117"/>
      <c r="J19" s="80"/>
      <c r="K19" s="80"/>
      <c r="L19" s="117"/>
      <c r="M19" s="85"/>
      <c r="N19" s="86"/>
      <c r="O19" s="87"/>
      <c r="P19" s="25"/>
    </row>
    <row r="20" spans="1:17" x14ac:dyDescent="0.25">
      <c r="A20" s="562"/>
      <c r="B20" s="80"/>
      <c r="C20" s="81"/>
      <c r="D20" s="82"/>
      <c r="E20" s="80"/>
      <c r="F20" s="80"/>
      <c r="G20" s="83"/>
      <c r="H20" s="84"/>
      <c r="I20" s="117"/>
      <c r="J20" s="80"/>
      <c r="K20" s="80"/>
      <c r="L20" s="117"/>
      <c r="M20" s="85"/>
      <c r="N20" s="86"/>
      <c r="O20" s="87"/>
      <c r="P20" s="25"/>
    </row>
    <row r="21" spans="1:17" x14ac:dyDescent="0.25">
      <c r="A21" s="562"/>
      <c r="B21" s="80"/>
      <c r="C21" s="81"/>
      <c r="D21" s="82"/>
      <c r="E21" s="80"/>
      <c r="F21" s="80"/>
      <c r="G21" s="88"/>
      <c r="H21" s="84"/>
      <c r="I21" s="117"/>
      <c r="J21" s="80"/>
      <c r="K21" s="80"/>
      <c r="L21" s="117"/>
      <c r="M21" s="85"/>
      <c r="N21" s="86"/>
      <c r="O21" s="87"/>
      <c r="P21" s="25"/>
    </row>
    <row r="22" spans="1:17" x14ac:dyDescent="0.25">
      <c r="A22" s="563"/>
      <c r="B22" s="89"/>
      <c r="C22" s="90"/>
      <c r="D22" s="91"/>
      <c r="E22" s="89"/>
      <c r="F22" s="89"/>
      <c r="G22" s="92"/>
      <c r="H22" s="93"/>
      <c r="I22" s="566"/>
      <c r="J22" s="89"/>
      <c r="K22" s="89"/>
      <c r="L22" s="566"/>
      <c r="M22" s="94"/>
      <c r="N22" s="86"/>
      <c r="O22" s="87"/>
      <c r="P22" s="25"/>
    </row>
    <row r="23" spans="1:17" ht="15.75" thickBot="1" x14ac:dyDescent="0.3">
      <c r="A23" s="564"/>
      <c r="B23" s="89"/>
      <c r="C23" s="90"/>
      <c r="D23" s="91"/>
      <c r="E23" s="89"/>
      <c r="F23" s="89"/>
      <c r="G23" s="92"/>
      <c r="H23" s="95"/>
      <c r="I23" s="567"/>
      <c r="J23" s="96"/>
      <c r="K23" s="96"/>
      <c r="L23" s="567"/>
      <c r="M23" s="97"/>
      <c r="N23" s="98"/>
      <c r="O23" s="99"/>
      <c r="P23" s="25"/>
    </row>
    <row r="24" spans="1:17" ht="15.75" thickBot="1" x14ac:dyDescent="0.3">
      <c r="A24" s="100" t="s">
        <v>76</v>
      </c>
      <c r="B24" s="610"/>
      <c r="C24" s="611"/>
      <c r="D24" s="611"/>
      <c r="E24" s="611"/>
      <c r="F24" s="611"/>
      <c r="G24" s="611"/>
      <c r="H24" s="611"/>
      <c r="I24" s="611"/>
      <c r="J24" s="611"/>
      <c r="K24" s="611"/>
      <c r="L24" s="611"/>
      <c r="M24" s="611"/>
      <c r="N24" s="611"/>
      <c r="O24" s="612"/>
      <c r="P24" s="26"/>
      <c r="Q24" s="26"/>
    </row>
    <row r="25" spans="1:17" x14ac:dyDescent="0.25">
      <c r="A25" s="101"/>
      <c r="B25" s="101"/>
      <c r="C25" s="21"/>
      <c r="D25" s="101"/>
      <c r="E25" s="101"/>
      <c r="F25" s="101"/>
      <c r="G25" s="101"/>
      <c r="H25" s="101"/>
      <c r="I25" s="101"/>
      <c r="J25" s="101"/>
      <c r="K25" s="101"/>
      <c r="L25" s="101"/>
      <c r="M25" s="101"/>
      <c r="N25" s="101"/>
      <c r="O25" s="101"/>
      <c r="P25" s="3"/>
      <c r="Q25" s="3"/>
    </row>
  </sheetData>
  <mergeCells count="25">
    <mergeCell ref="L5:M5"/>
    <mergeCell ref="A2:E2"/>
    <mergeCell ref="A7:B7"/>
    <mergeCell ref="N2:O2"/>
    <mergeCell ref="E5:F5"/>
    <mergeCell ref="D7:E7"/>
    <mergeCell ref="I5:K5"/>
    <mergeCell ref="B24:O24"/>
    <mergeCell ref="J15:J16"/>
    <mergeCell ref="K15:K16"/>
    <mergeCell ref="N14:O14"/>
    <mergeCell ref="N15:N16"/>
    <mergeCell ref="O15:O16"/>
    <mergeCell ref="M15:M16"/>
    <mergeCell ref="G14:G16"/>
    <mergeCell ref="H14:M14"/>
    <mergeCell ref="I15:I16"/>
    <mergeCell ref="L15:L16"/>
    <mergeCell ref="A8:F8"/>
    <mergeCell ref="F14:F16"/>
    <mergeCell ref="A14:A16"/>
    <mergeCell ref="B14:B16"/>
    <mergeCell ref="C14:C16"/>
    <mergeCell ref="D14:D16"/>
    <mergeCell ref="E14:E16"/>
  </mergeCells>
  <hyperlinks>
    <hyperlink ref="N2:O2" location="Índice!A1" display="Voltar ao índice" xr:uid="{00000000-0004-0000-0400-000000000000}"/>
  </hyperlinks>
  <pageMargins left="0.70866141732283472" right="0.70866141732283472" top="1.3779527559055118" bottom="0.74803149606299213" header="0.31496062992125984" footer="0.31496062992125984"/>
  <pageSetup paperSize="9" scale="64" orientation="landscape" cellComments="asDisplayed" r:id="rId1"/>
  <headerFooter>
    <oddHeader>&amp;L&amp;G&amp;C&amp;"-,Negrito"
&amp;24Caderno de Campo</oddHeader>
    <oddFooter>&amp;C&amp;G</oddFooter>
  </headerFooter>
  <legacyDrawing r:id="rId2"/>
  <legacyDrawingHF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pageSetUpPr fitToPage="1"/>
  </sheetPr>
  <dimension ref="A2:U28"/>
  <sheetViews>
    <sheetView showGridLines="0" showRuler="0" view="pageLayout" zoomScale="70" zoomScaleNormal="100" zoomScalePageLayoutView="70" workbookViewId="0">
      <selection activeCell="A2" sqref="A2:C2"/>
    </sheetView>
  </sheetViews>
  <sheetFormatPr defaultRowHeight="15" x14ac:dyDescent="0.25"/>
  <cols>
    <col min="1" max="2" width="12.42578125" customWidth="1"/>
    <col min="3" max="4" width="14.5703125" customWidth="1"/>
    <col min="5" max="6" width="8.85546875" customWidth="1"/>
    <col min="7" max="7" width="5.5703125" customWidth="1"/>
    <col min="8" max="8" width="6.140625" customWidth="1"/>
    <col min="9" max="9" width="5.5703125" customWidth="1"/>
    <col min="10" max="10" width="5.42578125" customWidth="1"/>
    <col min="11" max="12" width="5.5703125" customWidth="1"/>
    <col min="13" max="13" width="13.42578125" customWidth="1"/>
    <col min="14" max="14" width="14.42578125" customWidth="1"/>
    <col min="15" max="15" width="17.85546875" customWidth="1"/>
    <col min="16" max="16" width="12.42578125" customWidth="1"/>
    <col min="17" max="17" width="11.5703125" customWidth="1"/>
    <col min="18" max="18" width="14.42578125" customWidth="1"/>
  </cols>
  <sheetData>
    <row r="2" spans="1:21" ht="17.25" x14ac:dyDescent="0.3">
      <c r="A2" s="650" t="s">
        <v>77</v>
      </c>
      <c r="B2" s="650"/>
      <c r="C2" s="650"/>
      <c r="D2" s="1"/>
      <c r="P2" s="604" t="s">
        <v>375</v>
      </c>
      <c r="Q2" s="604"/>
    </row>
    <row r="4" spans="1:21" ht="15.75" thickBot="1" x14ac:dyDescent="0.3">
      <c r="A4" s="5"/>
    </row>
    <row r="5" spans="1:21" ht="30.75" thickBot="1" x14ac:dyDescent="0.3">
      <c r="A5" s="355" t="s">
        <v>60</v>
      </c>
      <c r="B5" s="111"/>
      <c r="D5" s="267" t="s">
        <v>133</v>
      </c>
      <c r="E5" s="105" t="s">
        <v>130</v>
      </c>
      <c r="F5" s="106"/>
      <c r="G5" s="105" t="s">
        <v>131</v>
      </c>
      <c r="H5" s="106"/>
      <c r="I5" s="105" t="s">
        <v>132</v>
      </c>
      <c r="J5" s="106"/>
      <c r="K5" s="353" t="s">
        <v>32</v>
      </c>
      <c r="L5" s="12"/>
    </row>
    <row r="6" spans="1:21" x14ac:dyDescent="0.25">
      <c r="A6" s="113"/>
    </row>
    <row r="7" spans="1:21" ht="30" x14ac:dyDescent="0.25">
      <c r="A7" s="114" t="s">
        <v>62</v>
      </c>
      <c r="B7" s="706"/>
      <c r="C7" s="707"/>
      <c r="D7" s="707"/>
      <c r="E7" s="708"/>
      <c r="F7" s="8"/>
      <c r="G7" s="66"/>
      <c r="J7" s="66"/>
      <c r="K7" s="66"/>
    </row>
    <row r="8" spans="1:21" x14ac:dyDescent="0.25">
      <c r="A8" s="114"/>
      <c r="B8" s="114"/>
      <c r="C8" s="114"/>
      <c r="D8" s="8"/>
      <c r="E8" s="8"/>
      <c r="F8" s="8"/>
      <c r="G8" s="66"/>
      <c r="J8" s="66"/>
      <c r="K8" s="66"/>
    </row>
    <row r="9" spans="1:21" ht="57.6" customHeight="1" x14ac:dyDescent="0.25">
      <c r="A9" s="114" t="s">
        <v>126</v>
      </c>
      <c r="B9" s="115"/>
      <c r="C9" s="124" t="s">
        <v>127</v>
      </c>
      <c r="D9" s="10"/>
      <c r="E9" s="66" t="s">
        <v>128</v>
      </c>
      <c r="F9" s="10"/>
      <c r="G9" s="710" t="s">
        <v>134</v>
      </c>
      <c r="H9" s="662"/>
      <c r="I9" s="711"/>
      <c r="J9" s="712"/>
      <c r="M9" s="354" t="s">
        <v>151</v>
      </c>
      <c r="N9" s="116"/>
      <c r="P9" s="108" t="s">
        <v>201</v>
      </c>
      <c r="Q9" s="106"/>
    </row>
    <row r="10" spans="1:21" x14ac:dyDescent="0.25">
      <c r="A10" s="114"/>
      <c r="B10" s="114"/>
      <c r="C10" s="114"/>
      <c r="D10" s="114"/>
      <c r="E10" s="114"/>
      <c r="F10" s="114"/>
      <c r="G10" s="114"/>
      <c r="H10" s="114"/>
      <c r="I10" s="66"/>
      <c r="J10" s="66"/>
      <c r="K10" s="66"/>
    </row>
    <row r="11" spans="1:21" ht="30" x14ac:dyDescent="0.25">
      <c r="A11" s="114"/>
      <c r="B11" s="114"/>
      <c r="C11" s="114"/>
      <c r="D11" s="108" t="s">
        <v>66</v>
      </c>
      <c r="E11" s="66" t="s">
        <v>64</v>
      </c>
      <c r="G11" s="108" t="s">
        <v>67</v>
      </c>
      <c r="H11" s="114"/>
      <c r="I11" s="66" t="s">
        <v>64</v>
      </c>
      <c r="J11" s="66"/>
      <c r="K11" s="66"/>
    </row>
    <row r="12" spans="1:21" ht="48" customHeight="1" x14ac:dyDescent="0.25">
      <c r="A12" s="108" t="s">
        <v>65</v>
      </c>
      <c r="B12" s="108"/>
      <c r="D12" s="117"/>
      <c r="E12" s="407" t="s">
        <v>136</v>
      </c>
      <c r="F12" s="109"/>
      <c r="G12" s="713"/>
      <c r="H12" s="714"/>
      <c r="I12" s="407" t="s">
        <v>136</v>
      </c>
      <c r="J12" s="66"/>
      <c r="K12" s="616" t="s">
        <v>171</v>
      </c>
      <c r="L12" s="616"/>
      <c r="M12" s="10"/>
      <c r="O12" s="715" t="s">
        <v>172</v>
      </c>
      <c r="P12" s="715"/>
      <c r="Q12" s="117"/>
    </row>
    <row r="13" spans="1:21" ht="15.75" thickBot="1" x14ac:dyDescent="0.3">
      <c r="A13" s="113"/>
    </row>
    <row r="14" spans="1:21" ht="21.75" customHeight="1" x14ac:dyDescent="0.25">
      <c r="A14" s="705"/>
      <c r="B14" s="681" t="s">
        <v>78</v>
      </c>
      <c r="C14" s="686"/>
      <c r="D14" s="686"/>
      <c r="E14" s="686"/>
      <c r="F14" s="686"/>
      <c r="G14" s="686"/>
      <c r="H14" s="686"/>
      <c r="I14" s="686"/>
      <c r="J14" s="686"/>
      <c r="K14" s="686"/>
      <c r="L14" s="679"/>
      <c r="M14" s="681" t="s">
        <v>79</v>
      </c>
      <c r="N14" s="686"/>
      <c r="O14" s="679"/>
      <c r="P14" s="688" t="s">
        <v>80</v>
      </c>
      <c r="Q14" s="681" t="s">
        <v>81</v>
      </c>
      <c r="R14" s="679"/>
      <c r="T14" s="22"/>
    </row>
    <row r="15" spans="1:21" ht="9.75" customHeight="1" thickBot="1" x14ac:dyDescent="0.3">
      <c r="A15" s="705"/>
      <c r="B15" s="683"/>
      <c r="C15" s="701"/>
      <c r="D15" s="701"/>
      <c r="E15" s="701"/>
      <c r="F15" s="701"/>
      <c r="G15" s="701"/>
      <c r="H15" s="701"/>
      <c r="I15" s="701"/>
      <c r="J15" s="701"/>
      <c r="K15" s="701"/>
      <c r="L15" s="680"/>
      <c r="M15" s="683"/>
      <c r="N15" s="701"/>
      <c r="O15" s="680"/>
      <c r="P15" s="689"/>
      <c r="Q15" s="683"/>
      <c r="R15" s="680"/>
      <c r="S15" s="22"/>
      <c r="T15" s="22"/>
    </row>
    <row r="16" spans="1:21" ht="42.6" customHeight="1" x14ac:dyDescent="0.25">
      <c r="A16" s="666" t="s">
        <v>68</v>
      </c>
      <c r="B16" s="664" t="s">
        <v>383</v>
      </c>
      <c r="C16" s="697" t="s">
        <v>382</v>
      </c>
      <c r="D16" s="697" t="s">
        <v>83</v>
      </c>
      <c r="E16" s="698" t="s">
        <v>144</v>
      </c>
      <c r="F16" s="699"/>
      <c r="G16" s="698" t="s">
        <v>565</v>
      </c>
      <c r="H16" s="700"/>
      <c r="I16" s="700"/>
      <c r="J16" s="700"/>
      <c r="K16" s="700"/>
      <c r="L16" s="699"/>
      <c r="M16" s="698" t="s">
        <v>84</v>
      </c>
      <c r="N16" s="702" t="s">
        <v>159</v>
      </c>
      <c r="O16" s="699" t="s">
        <v>566</v>
      </c>
      <c r="P16" s="428" t="s">
        <v>85</v>
      </c>
      <c r="Q16" s="667" t="s">
        <v>87</v>
      </c>
      <c r="R16" s="429" t="s">
        <v>82</v>
      </c>
      <c r="S16" s="31"/>
      <c r="T16" s="24"/>
      <c r="U16" s="24"/>
    </row>
    <row r="17" spans="1:21" ht="35.25" customHeight="1" thickBot="1" x14ac:dyDescent="0.3">
      <c r="A17" s="668"/>
      <c r="B17" s="665"/>
      <c r="C17" s="689"/>
      <c r="D17" s="689"/>
      <c r="E17" s="430" t="s">
        <v>145</v>
      </c>
      <c r="F17" s="431" t="s">
        <v>255</v>
      </c>
      <c r="G17" s="430" t="s">
        <v>124</v>
      </c>
      <c r="H17" s="432" t="s">
        <v>256</v>
      </c>
      <c r="I17" s="432" t="s">
        <v>157</v>
      </c>
      <c r="J17" s="432" t="s">
        <v>125</v>
      </c>
      <c r="K17" s="432" t="s">
        <v>146</v>
      </c>
      <c r="L17" s="433" t="s">
        <v>257</v>
      </c>
      <c r="M17" s="709"/>
      <c r="N17" s="703"/>
      <c r="O17" s="704"/>
      <c r="P17" s="434" t="s">
        <v>567</v>
      </c>
      <c r="Q17" s="668"/>
      <c r="R17" s="425" t="s">
        <v>88</v>
      </c>
      <c r="S17" s="31"/>
      <c r="T17" s="24"/>
      <c r="U17" s="24"/>
    </row>
    <row r="18" spans="1:21" x14ac:dyDescent="0.25">
      <c r="A18" s="70"/>
      <c r="B18" s="217"/>
      <c r="C18" s="149"/>
      <c r="D18" s="149"/>
      <c r="E18" s="217"/>
      <c r="F18" s="77"/>
      <c r="G18" s="217"/>
      <c r="H18" s="75"/>
      <c r="I18" s="75"/>
      <c r="J18" s="75"/>
      <c r="K18" s="75"/>
      <c r="L18" s="77"/>
      <c r="M18" s="149"/>
      <c r="N18" s="50"/>
      <c r="O18" s="149"/>
      <c r="P18" s="149"/>
      <c r="Q18" s="212"/>
      <c r="R18" s="122"/>
      <c r="S18" s="14"/>
      <c r="T18" s="14"/>
      <c r="U18" s="14"/>
    </row>
    <row r="19" spans="1:21" x14ac:dyDescent="0.25">
      <c r="A19" s="54"/>
      <c r="B19" s="56"/>
      <c r="C19" s="57"/>
      <c r="D19" s="57"/>
      <c r="E19" s="56"/>
      <c r="F19" s="85"/>
      <c r="G19" s="56"/>
      <c r="H19" s="83"/>
      <c r="I19" s="83"/>
      <c r="J19" s="83"/>
      <c r="K19" s="83"/>
      <c r="L19" s="85"/>
      <c r="M19" s="57"/>
      <c r="N19" s="57"/>
      <c r="O19" s="57"/>
      <c r="P19" s="57"/>
      <c r="Q19" s="84"/>
      <c r="R19" s="85"/>
      <c r="S19" s="14"/>
      <c r="T19" s="14"/>
      <c r="U19" s="14"/>
    </row>
    <row r="20" spans="1:21" x14ac:dyDescent="0.25">
      <c r="A20" s="54"/>
      <c r="B20" s="56"/>
      <c r="C20" s="57"/>
      <c r="D20" s="57"/>
      <c r="E20" s="56"/>
      <c r="F20" s="85"/>
      <c r="G20" s="56"/>
      <c r="H20" s="83"/>
      <c r="I20" s="83"/>
      <c r="J20" s="83"/>
      <c r="K20" s="83"/>
      <c r="L20" s="85"/>
      <c r="M20" s="57"/>
      <c r="N20" s="57"/>
      <c r="O20" s="57"/>
      <c r="P20" s="57"/>
      <c r="Q20" s="84"/>
      <c r="R20" s="85"/>
      <c r="S20" s="14"/>
      <c r="T20" s="14"/>
      <c r="U20" s="14"/>
    </row>
    <row r="21" spans="1:21" x14ac:dyDescent="0.25">
      <c r="A21" s="54"/>
      <c r="B21" s="56"/>
      <c r="C21" s="57"/>
      <c r="D21" s="57"/>
      <c r="E21" s="56"/>
      <c r="F21" s="85"/>
      <c r="G21" s="56"/>
      <c r="H21" s="83"/>
      <c r="I21" s="83"/>
      <c r="J21" s="83"/>
      <c r="K21" s="83"/>
      <c r="L21" s="85"/>
      <c r="M21" s="57"/>
      <c r="N21" s="57"/>
      <c r="O21" s="57"/>
      <c r="P21" s="57"/>
      <c r="Q21" s="84"/>
      <c r="R21" s="85"/>
      <c r="S21" s="14"/>
      <c r="T21" s="14"/>
      <c r="U21" s="14"/>
    </row>
    <row r="22" spans="1:21" x14ac:dyDescent="0.25">
      <c r="A22" s="54"/>
      <c r="B22" s="56"/>
      <c r="C22" s="57"/>
      <c r="D22" s="57"/>
      <c r="E22" s="56"/>
      <c r="F22" s="85"/>
      <c r="G22" s="56"/>
      <c r="H22" s="83"/>
      <c r="I22" s="83"/>
      <c r="J22" s="83"/>
      <c r="K22" s="83"/>
      <c r="L22" s="85"/>
      <c r="M22" s="57"/>
      <c r="N22" s="57"/>
      <c r="O22" s="57"/>
      <c r="P22" s="57"/>
      <c r="Q22" s="84"/>
      <c r="R22" s="85"/>
      <c r="S22" s="14"/>
      <c r="T22" s="14"/>
      <c r="U22" s="14"/>
    </row>
    <row r="23" spans="1:21" x14ac:dyDescent="0.25">
      <c r="A23" s="54"/>
      <c r="B23" s="56"/>
      <c r="C23" s="57"/>
      <c r="D23" s="57"/>
      <c r="E23" s="56"/>
      <c r="F23" s="85"/>
      <c r="G23" s="56"/>
      <c r="H23" s="83"/>
      <c r="I23" s="83"/>
      <c r="J23" s="83"/>
      <c r="K23" s="83"/>
      <c r="L23" s="85"/>
      <c r="M23" s="57"/>
      <c r="N23" s="57"/>
      <c r="O23" s="57"/>
      <c r="P23" s="57"/>
      <c r="Q23" s="84"/>
      <c r="R23" s="85"/>
      <c r="S23" s="14"/>
      <c r="T23" s="14"/>
      <c r="U23" s="14"/>
    </row>
    <row r="24" spans="1:21" x14ac:dyDescent="0.25">
      <c r="A24" s="54"/>
      <c r="B24" s="56"/>
      <c r="C24" s="57"/>
      <c r="D24" s="57"/>
      <c r="E24" s="56"/>
      <c r="F24" s="85"/>
      <c r="G24" s="56"/>
      <c r="H24" s="83"/>
      <c r="I24" s="83"/>
      <c r="J24" s="83"/>
      <c r="K24" s="83"/>
      <c r="L24" s="85"/>
      <c r="M24" s="57"/>
      <c r="N24" s="57"/>
      <c r="O24" s="57"/>
      <c r="P24" s="57"/>
      <c r="Q24" s="84"/>
      <c r="R24" s="85"/>
      <c r="S24" s="14"/>
      <c r="T24" s="14"/>
      <c r="U24" s="14"/>
    </row>
    <row r="25" spans="1:21" x14ac:dyDescent="0.25">
      <c r="A25" s="54"/>
      <c r="B25" s="56"/>
      <c r="C25" s="57"/>
      <c r="D25" s="57"/>
      <c r="E25" s="56"/>
      <c r="F25" s="85"/>
      <c r="G25" s="56"/>
      <c r="H25" s="83"/>
      <c r="I25" s="83"/>
      <c r="J25" s="83"/>
      <c r="K25" s="83"/>
      <c r="L25" s="85"/>
      <c r="M25" s="57"/>
      <c r="N25" s="57"/>
      <c r="O25" s="57"/>
      <c r="P25" s="57"/>
      <c r="Q25" s="84"/>
      <c r="R25" s="85"/>
      <c r="S25" s="14"/>
      <c r="T25" s="14"/>
      <c r="U25" s="14"/>
    </row>
    <row r="26" spans="1:21" x14ac:dyDescent="0.25">
      <c r="A26" s="54"/>
      <c r="B26" s="56"/>
      <c r="C26" s="57"/>
      <c r="D26" s="57"/>
      <c r="E26" s="56"/>
      <c r="F26" s="85"/>
      <c r="G26" s="56"/>
      <c r="H26" s="83"/>
      <c r="I26" s="83"/>
      <c r="J26" s="83"/>
      <c r="K26" s="83"/>
      <c r="L26" s="85"/>
      <c r="M26" s="57"/>
      <c r="N26" s="57"/>
      <c r="O26" s="57"/>
      <c r="P26" s="57"/>
      <c r="Q26" s="84"/>
      <c r="R26" s="85"/>
      <c r="S26" s="14"/>
      <c r="T26" s="14"/>
      <c r="U26" s="14"/>
    </row>
    <row r="27" spans="1:21" ht="15.75" thickBot="1" x14ac:dyDescent="0.3">
      <c r="A27" s="123"/>
      <c r="B27" s="218"/>
      <c r="C27" s="125"/>
      <c r="D27" s="125"/>
      <c r="E27" s="218"/>
      <c r="F27" s="216"/>
      <c r="G27" s="218"/>
      <c r="H27" s="215"/>
      <c r="I27" s="215"/>
      <c r="J27" s="215"/>
      <c r="K27" s="215"/>
      <c r="L27" s="216"/>
      <c r="M27" s="138"/>
      <c r="N27" s="138"/>
      <c r="O27" s="138"/>
      <c r="P27" s="138"/>
      <c r="Q27" s="93"/>
      <c r="R27" s="94"/>
      <c r="S27" s="14"/>
      <c r="T27" s="14"/>
      <c r="U27" s="14"/>
    </row>
    <row r="28" spans="1:21" ht="15.75" thickBot="1" x14ac:dyDescent="0.3">
      <c r="A28" s="214" t="s">
        <v>76</v>
      </c>
      <c r="B28" s="694"/>
      <c r="C28" s="695"/>
      <c r="D28" s="695"/>
      <c r="E28" s="695"/>
      <c r="F28" s="695"/>
      <c r="G28" s="695"/>
      <c r="H28" s="695"/>
      <c r="I28" s="695"/>
      <c r="J28" s="695"/>
      <c r="K28" s="695"/>
      <c r="L28" s="695"/>
      <c r="M28" s="695"/>
      <c r="N28" s="695"/>
      <c r="O28" s="695"/>
      <c r="P28" s="695"/>
      <c r="Q28" s="695"/>
      <c r="R28" s="696"/>
    </row>
  </sheetData>
  <mergeCells count="24">
    <mergeCell ref="P2:Q2"/>
    <mergeCell ref="A14:A15"/>
    <mergeCell ref="B7:E7"/>
    <mergeCell ref="A16:A17"/>
    <mergeCell ref="B16:B17"/>
    <mergeCell ref="M16:M17"/>
    <mergeCell ref="C16:C17"/>
    <mergeCell ref="G9:H9"/>
    <mergeCell ref="I9:J9"/>
    <mergeCell ref="G12:H12"/>
    <mergeCell ref="P14:P15"/>
    <mergeCell ref="Q14:R15"/>
    <mergeCell ref="O12:P12"/>
    <mergeCell ref="K12:L12"/>
    <mergeCell ref="A2:C2"/>
    <mergeCell ref="B28:R28"/>
    <mergeCell ref="D16:D17"/>
    <mergeCell ref="E16:F16"/>
    <mergeCell ref="G16:L16"/>
    <mergeCell ref="M14:O15"/>
    <mergeCell ref="B14:L15"/>
    <mergeCell ref="N16:N17"/>
    <mergeCell ref="O16:O17"/>
    <mergeCell ref="Q16:Q17"/>
  </mergeCells>
  <hyperlinks>
    <hyperlink ref="P2:Q2" location="Índice!A1" display="Voltar ao índice" xr:uid="{00000000-0004-0000-0500-000000000000}"/>
  </hyperlinks>
  <pageMargins left="0.70866141732283472" right="0.70866141732283472" top="1.3779527559055118" bottom="0.74803149606299213" header="0.31496062992125984" footer="0.31496062992125984"/>
  <pageSetup paperSize="9" scale="69" orientation="landscape" r:id="rId1"/>
  <headerFooter>
    <oddHeader>&amp;L&amp;G&amp;C&amp;"-,Negrito"
&amp;24Caderno de Campo</oddHeader>
    <oddFooter>&amp;C&amp;G</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pageSetUpPr fitToPage="1"/>
  </sheetPr>
  <dimension ref="A2:O38"/>
  <sheetViews>
    <sheetView showGridLines="0" showRuler="0" view="pageLayout" zoomScale="75" zoomScaleNormal="100" zoomScalePageLayoutView="75" workbookViewId="0">
      <selection activeCell="A34" sqref="A34:E34"/>
    </sheetView>
  </sheetViews>
  <sheetFormatPr defaultRowHeight="15" x14ac:dyDescent="0.25"/>
  <cols>
    <col min="1" max="1" width="16.140625" customWidth="1"/>
    <col min="2" max="2" width="25" customWidth="1"/>
    <col min="3" max="3" width="24.5703125" customWidth="1"/>
    <col min="4" max="4" width="12.85546875" customWidth="1"/>
    <col min="5" max="5" width="12.42578125" customWidth="1"/>
    <col min="6" max="6" width="12.140625" customWidth="1"/>
    <col min="7" max="8" width="11.140625" customWidth="1"/>
    <col min="9" max="9" width="12.42578125" customWidth="1"/>
    <col min="12" max="12" width="12.42578125" customWidth="1"/>
  </cols>
  <sheetData>
    <row r="2" spans="1:15" ht="17.25" x14ac:dyDescent="0.3">
      <c r="A2" s="661" t="s">
        <v>129</v>
      </c>
      <c r="B2" s="661"/>
      <c r="C2" s="1"/>
      <c r="D2" s="1"/>
      <c r="K2" s="604" t="s">
        <v>375</v>
      </c>
      <c r="L2" s="604"/>
    </row>
    <row r="3" spans="1:15" ht="15.75" thickBot="1" x14ac:dyDescent="0.3">
      <c r="A3" s="5"/>
    </row>
    <row r="4" spans="1:15" ht="30.75" thickBot="1" x14ac:dyDescent="0.3">
      <c r="A4" s="356" t="s">
        <v>60</v>
      </c>
      <c r="B4" s="111"/>
      <c r="C4" s="20" t="s">
        <v>139</v>
      </c>
      <c r="D4" s="128" t="s">
        <v>140</v>
      </c>
      <c r="E4" s="129"/>
      <c r="F4" s="128" t="s">
        <v>141</v>
      </c>
      <c r="G4" s="106"/>
      <c r="H4" s="357" t="s">
        <v>32</v>
      </c>
      <c r="I4" s="131"/>
      <c r="K4" s="357" t="s">
        <v>151</v>
      </c>
      <c r="L4" s="116"/>
      <c r="M4" s="132"/>
    </row>
    <row r="5" spans="1:15" x14ac:dyDescent="0.25">
      <c r="A5" s="113"/>
    </row>
    <row r="6" spans="1:15" ht="14.45" customHeight="1" x14ac:dyDescent="0.25">
      <c r="A6" s="615" t="s">
        <v>62</v>
      </c>
      <c r="B6" s="615"/>
      <c r="C6" s="615"/>
      <c r="D6" s="731"/>
      <c r="E6" s="732"/>
      <c r="F6" s="8"/>
      <c r="G6" s="66"/>
      <c r="J6" s="66"/>
      <c r="K6" s="66"/>
    </row>
    <row r="7" spans="1:15" x14ac:dyDescent="0.25">
      <c r="A7" s="114"/>
      <c r="B7" s="114"/>
      <c r="C7" s="114"/>
      <c r="D7" s="8"/>
      <c r="E7" s="8"/>
      <c r="F7" s="8"/>
      <c r="G7" s="66"/>
      <c r="J7" s="66"/>
      <c r="K7" s="66"/>
    </row>
    <row r="8" spans="1:15" ht="30" x14ac:dyDescent="0.25">
      <c r="A8" s="133" t="s">
        <v>126</v>
      </c>
      <c r="B8" s="115"/>
      <c r="C8" s="133" t="s">
        <v>127</v>
      </c>
      <c r="D8" s="10"/>
      <c r="E8" s="134" t="s">
        <v>128</v>
      </c>
      <c r="F8" s="10"/>
      <c r="G8" s="21" t="s">
        <v>134</v>
      </c>
      <c r="H8" s="106"/>
      <c r="J8" s="66"/>
      <c r="K8" s="66"/>
    </row>
    <row r="9" spans="1:15" x14ac:dyDescent="0.25">
      <c r="A9" s="114"/>
      <c r="B9" s="114"/>
      <c r="C9" s="114"/>
      <c r="D9" s="114"/>
      <c r="E9" s="114"/>
      <c r="F9" s="114"/>
      <c r="G9" s="114"/>
      <c r="H9" s="114"/>
      <c r="I9" s="66"/>
      <c r="J9" s="66"/>
      <c r="K9" s="66"/>
    </row>
    <row r="10" spans="1:15" x14ac:dyDescent="0.25">
      <c r="A10" s="114"/>
      <c r="B10" s="20" t="s">
        <v>66</v>
      </c>
      <c r="C10" s="135" t="s">
        <v>64</v>
      </c>
      <c r="F10" s="20" t="s">
        <v>67</v>
      </c>
      <c r="G10" s="21" t="s">
        <v>64</v>
      </c>
      <c r="J10" s="66"/>
      <c r="K10" s="66"/>
    </row>
    <row r="11" spans="1:15" x14ac:dyDescent="0.25">
      <c r="A11" s="136" t="s">
        <v>65</v>
      </c>
      <c r="B11" s="117"/>
      <c r="C11" s="135" t="s">
        <v>136</v>
      </c>
      <c r="E11" s="109"/>
      <c r="F11" s="117"/>
      <c r="G11" s="21" t="s">
        <v>136</v>
      </c>
      <c r="J11" s="66"/>
      <c r="K11" s="66"/>
    </row>
    <row r="12" spans="1:15" ht="15.75" thickBot="1" x14ac:dyDescent="0.3">
      <c r="A12" s="118"/>
    </row>
    <row r="13" spans="1:15" ht="14.45" customHeight="1" x14ac:dyDescent="0.25">
      <c r="A13" s="688" t="s">
        <v>68</v>
      </c>
      <c r="B13" s="688" t="s">
        <v>142</v>
      </c>
      <c r="C13" s="688" t="s">
        <v>382</v>
      </c>
      <c r="D13" s="725" t="s">
        <v>144</v>
      </c>
      <c r="E13" s="727"/>
      <c r="F13" s="725" t="s">
        <v>565</v>
      </c>
      <c r="G13" s="726"/>
      <c r="H13" s="726"/>
      <c r="I13" s="726"/>
      <c r="J13" s="726"/>
      <c r="K13" s="726"/>
      <c r="L13" s="726"/>
      <c r="M13" s="727"/>
      <c r="N13" s="13"/>
      <c r="O13" s="13"/>
    </row>
    <row r="14" spans="1:15" ht="18.75" thickBot="1" x14ac:dyDescent="0.3">
      <c r="A14" s="689"/>
      <c r="B14" s="689"/>
      <c r="C14" s="689"/>
      <c r="D14" s="435" t="s">
        <v>145</v>
      </c>
      <c r="E14" s="436" t="s">
        <v>255</v>
      </c>
      <c r="F14" s="437" t="s">
        <v>124</v>
      </c>
      <c r="G14" s="438" t="s">
        <v>256</v>
      </c>
      <c r="H14" s="438" t="s">
        <v>157</v>
      </c>
      <c r="I14" s="438" t="s">
        <v>125</v>
      </c>
      <c r="J14" s="438" t="s">
        <v>146</v>
      </c>
      <c r="K14" s="438" t="s">
        <v>257</v>
      </c>
      <c r="L14" s="438" t="s">
        <v>38</v>
      </c>
      <c r="M14" s="440"/>
      <c r="N14" s="13"/>
      <c r="O14" s="13"/>
    </row>
    <row r="15" spans="1:15" x14ac:dyDescent="0.25">
      <c r="A15" s="137"/>
      <c r="B15" s="50"/>
      <c r="C15" s="50"/>
      <c r="D15" s="76"/>
      <c r="E15" s="77"/>
      <c r="F15" s="102"/>
      <c r="G15" s="72"/>
      <c r="H15" s="72"/>
      <c r="I15" s="72"/>
      <c r="J15" s="72"/>
      <c r="K15" s="72"/>
      <c r="L15" s="72"/>
      <c r="M15" s="77"/>
      <c r="N15" s="14"/>
      <c r="O15" s="14"/>
    </row>
    <row r="16" spans="1:15" x14ac:dyDescent="0.25">
      <c r="A16" s="54"/>
      <c r="B16" s="57"/>
      <c r="C16" s="57"/>
      <c r="D16" s="84"/>
      <c r="E16" s="85"/>
      <c r="F16" s="103"/>
      <c r="G16" s="80"/>
      <c r="H16" s="80"/>
      <c r="I16" s="80"/>
      <c r="J16" s="80"/>
      <c r="K16" s="80"/>
      <c r="L16" s="80"/>
      <c r="M16" s="85"/>
      <c r="N16" s="14"/>
      <c r="O16" s="14"/>
    </row>
    <row r="17" spans="1:15" x14ac:dyDescent="0.25">
      <c r="A17" s="54"/>
      <c r="B17" s="57"/>
      <c r="C17" s="57"/>
      <c r="D17" s="84"/>
      <c r="E17" s="85"/>
      <c r="F17" s="103"/>
      <c r="G17" s="80"/>
      <c r="H17" s="80"/>
      <c r="I17" s="80"/>
      <c r="J17" s="80"/>
      <c r="K17" s="80"/>
      <c r="L17" s="80"/>
      <c r="M17" s="85"/>
      <c r="N17" s="14"/>
      <c r="O17" s="14"/>
    </row>
    <row r="18" spans="1:15" x14ac:dyDescent="0.25">
      <c r="A18" s="54"/>
      <c r="B18" s="57"/>
      <c r="C18" s="57"/>
      <c r="D18" s="84"/>
      <c r="E18" s="85"/>
      <c r="F18" s="103"/>
      <c r="G18" s="80"/>
      <c r="H18" s="80"/>
      <c r="I18" s="80"/>
      <c r="J18" s="80"/>
      <c r="K18" s="80"/>
      <c r="L18" s="80"/>
      <c r="M18" s="85"/>
      <c r="N18" s="14"/>
      <c r="O18" s="14"/>
    </row>
    <row r="19" spans="1:15" x14ac:dyDescent="0.25">
      <c r="A19" s="54"/>
      <c r="B19" s="57"/>
      <c r="C19" s="57"/>
      <c r="D19" s="84"/>
      <c r="E19" s="85"/>
      <c r="F19" s="103"/>
      <c r="G19" s="80"/>
      <c r="H19" s="80"/>
      <c r="I19" s="80"/>
      <c r="J19" s="80"/>
      <c r="K19" s="80"/>
      <c r="L19" s="80"/>
      <c r="M19" s="85"/>
      <c r="N19" s="14"/>
      <c r="O19" s="14"/>
    </row>
    <row r="20" spans="1:15" x14ac:dyDescent="0.25">
      <c r="A20" s="54"/>
      <c r="B20" s="57"/>
      <c r="C20" s="57"/>
      <c r="D20" s="84"/>
      <c r="E20" s="85"/>
      <c r="F20" s="103"/>
      <c r="G20" s="80"/>
      <c r="H20" s="80"/>
      <c r="I20" s="80"/>
      <c r="J20" s="80"/>
      <c r="K20" s="80"/>
      <c r="L20" s="80"/>
      <c r="M20" s="85"/>
      <c r="N20" s="14"/>
      <c r="O20" s="14"/>
    </row>
    <row r="21" spans="1:15" x14ac:dyDescent="0.25">
      <c r="A21" s="54"/>
      <c r="B21" s="57"/>
      <c r="C21" s="57"/>
      <c r="D21" s="84"/>
      <c r="E21" s="85"/>
      <c r="F21" s="103"/>
      <c r="G21" s="80"/>
      <c r="H21" s="80"/>
      <c r="I21" s="80"/>
      <c r="J21" s="80"/>
      <c r="K21" s="80"/>
      <c r="L21" s="80"/>
      <c r="M21" s="85"/>
      <c r="N21" s="14"/>
      <c r="O21" s="14"/>
    </row>
    <row r="22" spans="1:15" x14ac:dyDescent="0.25">
      <c r="A22" s="54"/>
      <c r="B22" s="57"/>
      <c r="C22" s="57"/>
      <c r="D22" s="84"/>
      <c r="E22" s="85"/>
      <c r="F22" s="103"/>
      <c r="G22" s="80"/>
      <c r="H22" s="80"/>
      <c r="I22" s="80"/>
      <c r="J22" s="80"/>
      <c r="K22" s="80"/>
      <c r="L22" s="80"/>
      <c r="M22" s="85"/>
      <c r="N22" s="14"/>
      <c r="O22" s="14"/>
    </row>
    <row r="23" spans="1:15" x14ac:dyDescent="0.25">
      <c r="A23" s="54"/>
      <c r="B23" s="57"/>
      <c r="C23" s="57"/>
      <c r="D23" s="84"/>
      <c r="E23" s="85"/>
      <c r="F23" s="103"/>
      <c r="G23" s="80"/>
      <c r="H23" s="80"/>
      <c r="I23" s="80"/>
      <c r="J23" s="80"/>
      <c r="K23" s="80"/>
      <c r="L23" s="80"/>
      <c r="M23" s="85"/>
      <c r="N23" s="14"/>
      <c r="O23" s="14"/>
    </row>
    <row r="24" spans="1:15" x14ac:dyDescent="0.25">
      <c r="A24" s="54"/>
      <c r="B24" s="57"/>
      <c r="C24" s="57"/>
      <c r="D24" s="84"/>
      <c r="E24" s="85"/>
      <c r="F24" s="103"/>
      <c r="G24" s="80"/>
      <c r="H24" s="80"/>
      <c r="I24" s="80"/>
      <c r="J24" s="80"/>
      <c r="K24" s="80"/>
      <c r="L24" s="80"/>
      <c r="M24" s="85"/>
      <c r="N24" s="14"/>
      <c r="O24" s="14"/>
    </row>
    <row r="25" spans="1:15" x14ac:dyDescent="0.25">
      <c r="A25" s="54"/>
      <c r="B25" s="57"/>
      <c r="C25" s="57"/>
      <c r="D25" s="84"/>
      <c r="E25" s="85"/>
      <c r="F25" s="103"/>
      <c r="G25" s="80"/>
      <c r="H25" s="80"/>
      <c r="I25" s="80"/>
      <c r="J25" s="80"/>
      <c r="K25" s="80"/>
      <c r="L25" s="80"/>
      <c r="M25" s="85"/>
      <c r="N25" s="14"/>
      <c r="O25" s="14"/>
    </row>
    <row r="26" spans="1:15" x14ac:dyDescent="0.25">
      <c r="A26" s="54"/>
      <c r="B26" s="57"/>
      <c r="C26" s="57"/>
      <c r="D26" s="84"/>
      <c r="E26" s="85"/>
      <c r="F26" s="103"/>
      <c r="G26" s="80"/>
      <c r="H26" s="80"/>
      <c r="I26" s="80"/>
      <c r="J26" s="80"/>
      <c r="K26" s="80"/>
      <c r="L26" s="80"/>
      <c r="M26" s="85"/>
      <c r="N26" s="14"/>
      <c r="O26" s="14"/>
    </row>
    <row r="27" spans="1:15" x14ac:dyDescent="0.25">
      <c r="A27" s="54"/>
      <c r="B27" s="57"/>
      <c r="C27" s="57"/>
      <c r="D27" s="84"/>
      <c r="E27" s="85"/>
      <c r="F27" s="103"/>
      <c r="G27" s="80"/>
      <c r="H27" s="80"/>
      <c r="I27" s="80"/>
      <c r="J27" s="80"/>
      <c r="K27" s="80"/>
      <c r="L27" s="80"/>
      <c r="M27" s="85"/>
      <c r="N27" s="14"/>
      <c r="O27" s="14"/>
    </row>
    <row r="28" spans="1:15" x14ac:dyDescent="0.25">
      <c r="A28" s="54"/>
      <c r="B28" s="57"/>
      <c r="C28" s="57"/>
      <c r="D28" s="84"/>
      <c r="E28" s="85"/>
      <c r="F28" s="103"/>
      <c r="G28" s="80"/>
      <c r="H28" s="80"/>
      <c r="I28" s="80"/>
      <c r="J28" s="80"/>
      <c r="K28" s="80"/>
      <c r="L28" s="80"/>
      <c r="M28" s="85"/>
      <c r="N28" s="14"/>
      <c r="O28" s="14"/>
    </row>
    <row r="29" spans="1:15" x14ac:dyDescent="0.25">
      <c r="A29" s="54"/>
      <c r="B29" s="125"/>
      <c r="C29" s="125"/>
      <c r="D29" s="126"/>
      <c r="E29" s="94"/>
      <c r="F29" s="104"/>
      <c r="G29" s="89"/>
      <c r="H29" s="89"/>
      <c r="I29" s="89"/>
      <c r="J29" s="89"/>
      <c r="K29" s="89"/>
      <c r="L29" s="89"/>
      <c r="M29" s="85"/>
      <c r="N29" s="14"/>
      <c r="O29" s="14"/>
    </row>
    <row r="30" spans="1:15" x14ac:dyDescent="0.25">
      <c r="A30" s="54"/>
      <c r="B30" s="57"/>
      <c r="C30" s="57"/>
      <c r="D30" s="84"/>
      <c r="E30" s="85"/>
      <c r="F30" s="103"/>
      <c r="G30" s="80"/>
      <c r="H30" s="80"/>
      <c r="I30" s="80"/>
      <c r="J30" s="80"/>
      <c r="K30" s="80"/>
      <c r="L30" s="80"/>
      <c r="M30" s="85"/>
      <c r="N30" s="15"/>
      <c r="O30" s="15"/>
    </row>
    <row r="31" spans="1:15" x14ac:dyDescent="0.25">
      <c r="A31" s="54"/>
      <c r="B31" s="125"/>
      <c r="C31" s="125"/>
      <c r="D31" s="126"/>
      <c r="E31" s="94"/>
      <c r="F31" s="104"/>
      <c r="G31" s="89"/>
      <c r="H31" s="89"/>
      <c r="I31" s="89"/>
      <c r="J31" s="89"/>
      <c r="K31" s="89"/>
      <c r="L31" s="89"/>
      <c r="M31" s="85"/>
    </row>
    <row r="32" spans="1:15" ht="15.75" thickBot="1" x14ac:dyDescent="0.3">
      <c r="A32" s="123"/>
      <c r="B32" s="138"/>
      <c r="C32" s="138"/>
      <c r="D32" s="95"/>
      <c r="E32" s="97"/>
      <c r="F32" s="139"/>
      <c r="G32" s="96"/>
      <c r="H32" s="96"/>
      <c r="I32" s="96"/>
      <c r="J32" s="96"/>
      <c r="K32" s="96"/>
      <c r="L32" s="96"/>
      <c r="M32" s="97"/>
    </row>
    <row r="33" spans="1:13" x14ac:dyDescent="0.25">
      <c r="A33" s="719" t="s">
        <v>147</v>
      </c>
      <c r="B33" s="720"/>
      <c r="C33" s="720"/>
      <c r="D33" s="720"/>
      <c r="E33" s="721"/>
      <c r="F33" s="140"/>
      <c r="G33" s="141"/>
      <c r="H33" s="141"/>
      <c r="I33" s="141"/>
      <c r="J33" s="141"/>
      <c r="K33" s="141"/>
      <c r="L33" s="141"/>
      <c r="M33" s="141"/>
    </row>
    <row r="34" spans="1:13" ht="15.75" thickBot="1" x14ac:dyDescent="0.3">
      <c r="A34" s="722" t="s">
        <v>148</v>
      </c>
      <c r="B34" s="723"/>
      <c r="C34" s="723"/>
      <c r="D34" s="723"/>
      <c r="E34" s="724"/>
      <c r="F34" s="142"/>
      <c r="G34" s="143"/>
      <c r="H34" s="143"/>
      <c r="I34" s="143"/>
      <c r="J34" s="143"/>
      <c r="K34" s="143"/>
      <c r="L34" s="143"/>
      <c r="M34" s="143"/>
    </row>
    <row r="35" spans="1:13" x14ac:dyDescent="0.25">
      <c r="A35" s="728" t="s">
        <v>149</v>
      </c>
      <c r="B35" s="729"/>
      <c r="C35" s="729"/>
      <c r="D35" s="729"/>
      <c r="E35" s="730"/>
      <c r="F35" s="141"/>
      <c r="G35" s="141"/>
      <c r="H35" s="141"/>
      <c r="I35" s="141"/>
      <c r="J35" s="141"/>
      <c r="K35" s="141"/>
      <c r="L35" s="141"/>
      <c r="M35" s="141"/>
    </row>
    <row r="36" spans="1:13" ht="15.75" thickBot="1" x14ac:dyDescent="0.3">
      <c r="A36" s="716" t="s">
        <v>150</v>
      </c>
      <c r="B36" s="717"/>
      <c r="C36" s="717"/>
      <c r="D36" s="717"/>
      <c r="E36" s="718"/>
      <c r="F36" s="127"/>
      <c r="G36" s="127"/>
      <c r="H36" s="127"/>
      <c r="I36" s="127"/>
      <c r="J36" s="127"/>
      <c r="K36" s="127"/>
      <c r="L36" s="127"/>
      <c r="M36" s="127"/>
    </row>
    <row r="37" spans="1:13" x14ac:dyDescent="0.25">
      <c r="A37" s="17"/>
    </row>
    <row r="38" spans="1:13" x14ac:dyDescent="0.25">
      <c r="A38" s="17"/>
    </row>
  </sheetData>
  <mergeCells count="13">
    <mergeCell ref="K2:L2"/>
    <mergeCell ref="A36:E36"/>
    <mergeCell ref="A33:E33"/>
    <mergeCell ref="A34:E34"/>
    <mergeCell ref="F13:M13"/>
    <mergeCell ref="A35:E35"/>
    <mergeCell ref="A6:C6"/>
    <mergeCell ref="D6:E6"/>
    <mergeCell ref="A13:A14"/>
    <mergeCell ref="B13:B14"/>
    <mergeCell ref="C13:C14"/>
    <mergeCell ref="D13:E13"/>
    <mergeCell ref="A2:B2"/>
  </mergeCells>
  <hyperlinks>
    <hyperlink ref="K2:L2" location="Índice!A1" display="Voltar ao índice" xr:uid="{00000000-0004-0000-0600-000000000000}"/>
  </hyperlinks>
  <pageMargins left="0.70866141732283472" right="0.70866141732283472" top="1.3779527559055118" bottom="0.74803149606299213" header="0.31496062992125984" footer="0.31496062992125984"/>
  <pageSetup paperSize="9" scale="73" orientation="landscape" r:id="rId1"/>
  <headerFooter>
    <oddHeader>&amp;L&amp;G&amp;C&amp;"-,Negrito"
&amp;24Caderno de Campo</oddHeader>
    <oddFooter>&amp;C&amp;G</oddFooter>
  </headerFooter>
  <legacy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pageSetUpPr fitToPage="1"/>
  </sheetPr>
  <dimension ref="A2:O34"/>
  <sheetViews>
    <sheetView showGridLines="0" showRuler="0" view="pageLayout" zoomScale="75" zoomScaleNormal="100" zoomScalePageLayoutView="75" workbookViewId="0">
      <selection activeCell="L2" sqref="L2:M2"/>
    </sheetView>
  </sheetViews>
  <sheetFormatPr defaultRowHeight="15" x14ac:dyDescent="0.25"/>
  <cols>
    <col min="1" max="1" width="16.42578125" customWidth="1"/>
    <col min="2" max="2" width="21.140625" customWidth="1"/>
    <col min="3" max="3" width="18.42578125" customWidth="1"/>
    <col min="4" max="4" width="17.140625" customWidth="1"/>
    <col min="5" max="5" width="12.42578125" customWidth="1"/>
    <col min="6" max="6" width="11.140625" customWidth="1"/>
    <col min="8" max="8" width="9.5703125" customWidth="1"/>
  </cols>
  <sheetData>
    <row r="2" spans="1:13" ht="17.25" x14ac:dyDescent="0.3">
      <c r="A2" s="650" t="s">
        <v>138</v>
      </c>
      <c r="B2" s="650"/>
      <c r="C2" s="1"/>
      <c r="D2" s="1"/>
      <c r="L2" s="604" t="s">
        <v>375</v>
      </c>
      <c r="M2" s="604"/>
    </row>
    <row r="3" spans="1:13" ht="15.75" thickBot="1" x14ac:dyDescent="0.3">
      <c r="A3" s="5"/>
    </row>
    <row r="4" spans="1:13" ht="30.75" thickBot="1" x14ac:dyDescent="0.3">
      <c r="A4" s="356" t="s">
        <v>60</v>
      </c>
      <c r="B4" s="111"/>
      <c r="C4" s="20" t="s">
        <v>139</v>
      </c>
      <c r="D4" s="21" t="s">
        <v>140</v>
      </c>
      <c r="E4" s="129"/>
      <c r="F4" s="22" t="s">
        <v>141</v>
      </c>
      <c r="G4" s="106"/>
      <c r="H4" s="357" t="s">
        <v>32</v>
      </c>
      <c r="I4" s="131"/>
      <c r="K4" s="112"/>
      <c r="L4" s="146"/>
      <c r="M4" s="132"/>
    </row>
    <row r="5" spans="1:13" x14ac:dyDescent="0.25">
      <c r="A5" s="147"/>
      <c r="B5" s="132"/>
      <c r="C5" s="20"/>
      <c r="D5" s="21"/>
      <c r="E5" s="105"/>
      <c r="F5" s="22"/>
      <c r="H5" s="130"/>
      <c r="I5" s="132"/>
      <c r="K5" s="112"/>
      <c r="L5" s="146"/>
      <c r="M5" s="132"/>
    </row>
    <row r="6" spans="1:13" x14ac:dyDescent="0.25">
      <c r="A6" s="113"/>
      <c r="D6" s="114"/>
      <c r="E6" s="20" t="s">
        <v>66</v>
      </c>
      <c r="F6" s="135" t="s">
        <v>64</v>
      </c>
      <c r="G6" s="20" t="s">
        <v>67</v>
      </c>
      <c r="H6" s="21" t="s">
        <v>64</v>
      </c>
    </row>
    <row r="7" spans="1:13" ht="24" customHeight="1" x14ac:dyDescent="0.25">
      <c r="A7" s="22" t="s">
        <v>62</v>
      </c>
      <c r="B7" s="731"/>
      <c r="C7" s="732"/>
      <c r="D7" s="136" t="s">
        <v>65</v>
      </c>
      <c r="E7" s="117"/>
      <c r="F7" s="135" t="s">
        <v>136</v>
      </c>
      <c r="G7" s="117"/>
      <c r="H7" s="21" t="s">
        <v>136</v>
      </c>
      <c r="J7" s="66"/>
      <c r="K7" s="66"/>
    </row>
    <row r="8" spans="1:13" x14ac:dyDescent="0.25">
      <c r="A8" s="114"/>
      <c r="B8" s="114"/>
      <c r="C8" s="114"/>
      <c r="D8" s="8"/>
      <c r="E8" s="8"/>
      <c r="F8" s="8"/>
      <c r="G8" s="66"/>
      <c r="J8" s="66"/>
      <c r="K8" s="66"/>
    </row>
    <row r="9" spans="1:13" ht="15.75" thickBot="1" x14ac:dyDescent="0.3">
      <c r="A9" s="715" t="s">
        <v>345</v>
      </c>
      <c r="B9" s="715"/>
      <c r="C9" s="715"/>
      <c r="D9" s="715"/>
      <c r="E9" s="715"/>
      <c r="F9" s="715"/>
      <c r="G9" s="715"/>
      <c r="H9" s="715"/>
      <c r="I9" s="715"/>
      <c r="J9" s="715"/>
      <c r="K9" s="66"/>
    </row>
    <row r="10" spans="1:13" ht="45.75" thickBot="1" x14ac:dyDescent="0.3">
      <c r="A10" s="133"/>
      <c r="B10" s="362" t="s">
        <v>530</v>
      </c>
      <c r="C10" s="40"/>
      <c r="D10" s="362" t="s">
        <v>575</v>
      </c>
      <c r="E10" s="40"/>
      <c r="F10" s="362" t="s">
        <v>529</v>
      </c>
      <c r="G10" s="190"/>
      <c r="H10" s="362" t="s">
        <v>507</v>
      </c>
      <c r="I10" s="40"/>
      <c r="J10" s="133" t="s">
        <v>153</v>
      </c>
      <c r="K10" s="187"/>
    </row>
    <row r="11" spans="1:13" x14ac:dyDescent="0.25">
      <c r="A11" s="135"/>
      <c r="B11" s="133"/>
      <c r="C11" s="114"/>
      <c r="D11" s="134"/>
      <c r="E11" s="107"/>
      <c r="F11" s="8"/>
      <c r="G11" s="66"/>
      <c r="J11" s="66"/>
      <c r="K11" s="66"/>
    </row>
    <row r="12" spans="1:13" ht="23.1" customHeight="1" thickBot="1" x14ac:dyDescent="0.3">
      <c r="A12" s="616" t="s">
        <v>346</v>
      </c>
      <c r="B12" s="616"/>
      <c r="C12" s="616"/>
      <c r="D12" s="616"/>
      <c r="E12" s="616"/>
      <c r="F12" s="616"/>
      <c r="G12" s="616"/>
      <c r="H12" s="616"/>
      <c r="I12" s="616"/>
      <c r="J12" s="616"/>
      <c r="K12" s="66"/>
    </row>
    <row r="13" spans="1:13" ht="18" x14ac:dyDescent="0.35">
      <c r="A13" s="737" t="s">
        <v>518</v>
      </c>
      <c r="B13" s="738"/>
      <c r="C13" s="412" t="s">
        <v>124</v>
      </c>
      <c r="D13" s="410" t="s">
        <v>256</v>
      </c>
      <c r="E13" s="411" t="s">
        <v>157</v>
      </c>
      <c r="F13" s="411" t="s">
        <v>125</v>
      </c>
      <c r="G13" s="28"/>
      <c r="H13" s="191"/>
      <c r="I13" s="456" t="s">
        <v>535</v>
      </c>
      <c r="J13" s="414" t="s">
        <v>506</v>
      </c>
      <c r="K13" s="66"/>
      <c r="L13" s="66"/>
    </row>
    <row r="14" spans="1:13" x14ac:dyDescent="0.25">
      <c r="A14" s="676" t="s">
        <v>527</v>
      </c>
      <c r="B14" s="461" t="s">
        <v>155</v>
      </c>
      <c r="C14" s="115"/>
      <c r="D14" s="19"/>
      <c r="E14" s="144"/>
      <c r="F14" s="10"/>
      <c r="G14" s="117"/>
      <c r="H14" s="106"/>
      <c r="I14" s="746"/>
      <c r="J14" s="747"/>
      <c r="K14" s="66"/>
    </row>
    <row r="15" spans="1:13" x14ac:dyDescent="0.25">
      <c r="A15" s="745"/>
      <c r="B15" s="461" t="s">
        <v>156</v>
      </c>
      <c r="C15" s="115"/>
      <c r="D15" s="19"/>
      <c r="E15" s="144"/>
      <c r="F15" s="10"/>
      <c r="G15" s="117"/>
      <c r="H15" s="106"/>
      <c r="I15" s="746"/>
      <c r="J15" s="747"/>
      <c r="K15" s="66"/>
    </row>
    <row r="16" spans="1:13" ht="20.45" customHeight="1" x14ac:dyDescent="0.25">
      <c r="A16" s="675"/>
      <c r="B16" s="462" t="s">
        <v>528</v>
      </c>
      <c r="C16" s="115"/>
      <c r="D16" s="115"/>
      <c r="E16" s="115"/>
      <c r="F16" s="115"/>
      <c r="G16" s="115"/>
      <c r="H16" s="115"/>
      <c r="I16" s="454"/>
      <c r="J16" s="473"/>
      <c r="K16" s="66"/>
    </row>
    <row r="17" spans="1:15" ht="15.75" thickBot="1" x14ac:dyDescent="0.3">
      <c r="A17" s="740" t="s">
        <v>523</v>
      </c>
      <c r="B17" s="741"/>
      <c r="C17" s="463"/>
      <c r="D17" s="742"/>
      <c r="E17" s="743"/>
      <c r="F17" s="743"/>
      <c r="G17" s="743"/>
      <c r="H17" s="743"/>
      <c r="I17" s="743"/>
      <c r="J17" s="744"/>
      <c r="K17" s="66"/>
    </row>
    <row r="18" spans="1:15" ht="15.75" thickBot="1" x14ac:dyDescent="0.3">
      <c r="A18" s="330"/>
      <c r="B18" s="330"/>
      <c r="C18" s="407"/>
      <c r="D18" s="109"/>
      <c r="E18" s="109"/>
      <c r="F18" s="109"/>
      <c r="G18" s="109"/>
      <c r="H18" s="109"/>
      <c r="I18" s="109"/>
      <c r="J18" s="109"/>
      <c r="K18" s="66"/>
    </row>
    <row r="19" spans="1:15" ht="30.75" thickBot="1" x14ac:dyDescent="0.3">
      <c r="A19" s="748" t="s">
        <v>574</v>
      </c>
      <c r="B19" s="748"/>
      <c r="C19" s="748"/>
      <c r="D19" s="748"/>
      <c r="E19" s="135" t="s">
        <v>532</v>
      </c>
      <c r="F19" s="190"/>
      <c r="G19" s="362" t="s">
        <v>533</v>
      </c>
      <c r="H19" s="40"/>
      <c r="I19" s="133" t="s">
        <v>534</v>
      </c>
      <c r="J19" s="187"/>
      <c r="K19" s="66"/>
    </row>
    <row r="20" spans="1:15" x14ac:dyDescent="0.25">
      <c r="A20" s="330"/>
      <c r="B20" s="330"/>
      <c r="C20" s="407"/>
      <c r="D20" s="109"/>
      <c r="E20" s="109"/>
      <c r="F20" s="109"/>
      <c r="G20" s="109"/>
      <c r="H20" s="109"/>
      <c r="I20" s="109"/>
      <c r="J20" s="109"/>
      <c r="K20" s="66"/>
    </row>
    <row r="21" spans="1:15" ht="30" customHeight="1" thickBot="1" x14ac:dyDescent="0.3">
      <c r="A21" s="739" t="s">
        <v>347</v>
      </c>
      <c r="B21" s="739"/>
      <c r="C21" s="739"/>
      <c r="D21" s="739"/>
      <c r="E21" s="739"/>
      <c r="F21" s="739"/>
      <c r="G21" s="739"/>
      <c r="H21" s="739"/>
      <c r="I21" s="739"/>
      <c r="J21" s="739"/>
      <c r="K21" s="739"/>
      <c r="L21" s="739"/>
      <c r="M21" s="739"/>
    </row>
    <row r="22" spans="1:15" ht="30" x14ac:dyDescent="0.25">
      <c r="A22" s="681" t="s">
        <v>68</v>
      </c>
      <c r="B22" s="681" t="s">
        <v>383</v>
      </c>
      <c r="C22" s="688" t="s">
        <v>78</v>
      </c>
      <c r="D22" s="688" t="s">
        <v>143</v>
      </c>
      <c r="E22" s="538" t="s">
        <v>144</v>
      </c>
      <c r="F22" s="725" t="s">
        <v>565</v>
      </c>
      <c r="G22" s="726"/>
      <c r="H22" s="726"/>
      <c r="I22" s="726"/>
      <c r="J22" s="726"/>
      <c r="K22" s="726"/>
      <c r="L22" s="726"/>
      <c r="M22" s="727"/>
      <c r="N22" s="7"/>
    </row>
    <row r="23" spans="1:15" ht="18.75" thickBot="1" x14ac:dyDescent="0.3">
      <c r="A23" s="683"/>
      <c r="B23" s="683"/>
      <c r="C23" s="689"/>
      <c r="D23" s="689"/>
      <c r="E23" s="539" t="s">
        <v>145</v>
      </c>
      <c r="F23" s="441" t="s">
        <v>124</v>
      </c>
      <c r="G23" s="438" t="s">
        <v>256</v>
      </c>
      <c r="H23" s="438" t="s">
        <v>157</v>
      </c>
      <c r="I23" s="438" t="s">
        <v>125</v>
      </c>
      <c r="J23" s="438" t="s">
        <v>146</v>
      </c>
      <c r="K23" s="438" t="s">
        <v>257</v>
      </c>
      <c r="L23" s="438" t="s">
        <v>38</v>
      </c>
      <c r="M23" s="439"/>
      <c r="N23" s="7"/>
    </row>
    <row r="24" spans="1:15" x14ac:dyDescent="0.25">
      <c r="A24" s="70"/>
      <c r="B24" s="148"/>
      <c r="C24" s="149"/>
      <c r="D24" s="148"/>
      <c r="E24" s="149"/>
      <c r="F24" s="102"/>
      <c r="G24" s="72"/>
      <c r="H24" s="72"/>
      <c r="I24" s="72"/>
      <c r="J24" s="72"/>
      <c r="K24" s="72"/>
      <c r="L24" s="72"/>
      <c r="M24" s="77"/>
      <c r="N24" s="14"/>
    </row>
    <row r="25" spans="1:15" x14ac:dyDescent="0.25">
      <c r="A25" s="54"/>
      <c r="B25" s="52"/>
      <c r="C25" s="57"/>
      <c r="D25" s="52"/>
      <c r="E25" s="57"/>
      <c r="F25" s="103"/>
      <c r="G25" s="80"/>
      <c r="H25" s="80"/>
      <c r="I25" s="80"/>
      <c r="J25" s="80"/>
      <c r="K25" s="80"/>
      <c r="L25" s="80"/>
      <c r="M25" s="85"/>
      <c r="N25" s="14"/>
    </row>
    <row r="26" spans="1:15" x14ac:dyDescent="0.25">
      <c r="A26" s="54"/>
      <c r="B26" s="52"/>
      <c r="C26" s="57"/>
      <c r="D26" s="52"/>
      <c r="E26" s="57"/>
      <c r="F26" s="103"/>
      <c r="G26" s="80"/>
      <c r="H26" s="80"/>
      <c r="I26" s="80"/>
      <c r="J26" s="80"/>
      <c r="K26" s="80"/>
      <c r="L26" s="80"/>
      <c r="M26" s="85"/>
      <c r="N26" s="14"/>
    </row>
    <row r="27" spans="1:15" x14ac:dyDescent="0.25">
      <c r="A27" s="54"/>
      <c r="B27" s="52"/>
      <c r="C27" s="57"/>
      <c r="D27" s="52"/>
      <c r="E27" s="57"/>
      <c r="F27" s="103"/>
      <c r="G27" s="80"/>
      <c r="H27" s="80"/>
      <c r="I27" s="80"/>
      <c r="J27" s="80"/>
      <c r="K27" s="80"/>
      <c r="L27" s="80"/>
      <c r="M27" s="85"/>
      <c r="N27" s="14"/>
    </row>
    <row r="28" spans="1:15" x14ac:dyDescent="0.25">
      <c r="A28" s="54"/>
      <c r="B28" s="52"/>
      <c r="C28" s="57"/>
      <c r="D28" s="52"/>
      <c r="E28" s="57"/>
      <c r="F28" s="103"/>
      <c r="G28" s="80"/>
      <c r="H28" s="80"/>
      <c r="I28" s="80"/>
      <c r="J28" s="80"/>
      <c r="K28" s="80"/>
      <c r="L28" s="80"/>
      <c r="M28" s="85"/>
      <c r="N28" s="14"/>
    </row>
    <row r="29" spans="1:15" x14ac:dyDescent="0.25">
      <c r="A29" s="54"/>
      <c r="B29" s="52"/>
      <c r="C29" s="57"/>
      <c r="D29" s="52"/>
      <c r="E29" s="57"/>
      <c r="F29" s="103"/>
      <c r="G29" s="80"/>
      <c r="H29" s="80"/>
      <c r="I29" s="80"/>
      <c r="J29" s="80"/>
      <c r="K29" s="80"/>
      <c r="L29" s="80"/>
      <c r="M29" s="85"/>
      <c r="N29" s="14"/>
    </row>
    <row r="30" spans="1:15" ht="15.75" thickBot="1" x14ac:dyDescent="0.3">
      <c r="A30" s="119"/>
      <c r="B30" s="145"/>
      <c r="C30" s="127"/>
      <c r="D30" s="145"/>
      <c r="E30" s="63"/>
      <c r="F30" s="139"/>
      <c r="G30" s="96"/>
      <c r="H30" s="96"/>
      <c r="I30" s="96"/>
      <c r="J30" s="96"/>
      <c r="K30" s="96"/>
      <c r="L30" s="96"/>
      <c r="M30" s="97"/>
      <c r="N30" s="14"/>
    </row>
    <row r="31" spans="1:15" ht="15.75" thickBot="1" x14ac:dyDescent="0.3">
      <c r="A31" s="734" t="s">
        <v>147</v>
      </c>
      <c r="B31" s="735"/>
      <c r="C31" s="735"/>
      <c r="D31" s="735"/>
      <c r="E31" s="736"/>
      <c r="F31" s="140"/>
      <c r="G31" s="141"/>
      <c r="H31" s="141"/>
      <c r="I31" s="141"/>
      <c r="J31" s="141"/>
      <c r="K31" s="141"/>
      <c r="L31" s="141"/>
      <c r="M31" s="141"/>
      <c r="N31" s="15"/>
      <c r="O31" s="15"/>
    </row>
    <row r="32" spans="1:15" x14ac:dyDescent="0.25">
      <c r="A32" s="728" t="s">
        <v>149</v>
      </c>
      <c r="B32" s="729"/>
      <c r="C32" s="729"/>
      <c r="D32" s="729"/>
      <c r="E32" s="730"/>
      <c r="F32" s="141"/>
      <c r="G32" s="141"/>
      <c r="H32" s="141"/>
      <c r="I32" s="141"/>
      <c r="J32" s="141"/>
      <c r="K32" s="141"/>
      <c r="L32" s="141"/>
      <c r="M32" s="141"/>
    </row>
    <row r="33" spans="1:13" ht="15.75" thickBot="1" x14ac:dyDescent="0.3">
      <c r="A33" s="716" t="s">
        <v>158</v>
      </c>
      <c r="B33" s="717"/>
      <c r="C33" s="717"/>
      <c r="D33" s="717"/>
      <c r="E33" s="718"/>
      <c r="F33" s="127"/>
      <c r="G33" s="127"/>
      <c r="H33" s="127"/>
      <c r="I33" s="127"/>
      <c r="J33" s="127"/>
      <c r="K33" s="127"/>
      <c r="L33" s="127"/>
      <c r="M33" s="127"/>
    </row>
    <row r="34" spans="1:13" x14ac:dyDescent="0.25">
      <c r="A34" s="733"/>
      <c r="B34" s="733"/>
      <c r="C34" s="733"/>
      <c r="D34" s="733"/>
      <c r="E34" s="733"/>
    </row>
  </sheetData>
  <mergeCells count="22">
    <mergeCell ref="I14:I15"/>
    <mergeCell ref="L2:M2"/>
    <mergeCell ref="A2:B2"/>
    <mergeCell ref="F22:M22"/>
    <mergeCell ref="J14:J15"/>
    <mergeCell ref="A19:D19"/>
    <mergeCell ref="A33:E33"/>
    <mergeCell ref="A32:E32"/>
    <mergeCell ref="A34:E34"/>
    <mergeCell ref="A31:E31"/>
    <mergeCell ref="B7:C7"/>
    <mergeCell ref="A22:A23"/>
    <mergeCell ref="B22:B23"/>
    <mergeCell ref="D22:D23"/>
    <mergeCell ref="C22:C23"/>
    <mergeCell ref="A13:B13"/>
    <mergeCell ref="A9:J9"/>
    <mergeCell ref="A12:J12"/>
    <mergeCell ref="A21:M21"/>
    <mergeCell ref="A17:B17"/>
    <mergeCell ref="D17:J17"/>
    <mergeCell ref="A14:A16"/>
  </mergeCells>
  <hyperlinks>
    <hyperlink ref="L2:M2" location="Índice!A1" display="Voltar ao índice" xr:uid="{00000000-0004-0000-0700-000000000000}"/>
  </hyperlinks>
  <pageMargins left="0.70866141732283472" right="0.70866141732283472" top="1.3779527559055118" bottom="0.74803149606299213" header="0.31496062992125984" footer="0.31496062992125984"/>
  <pageSetup paperSize="9" scale="71" orientation="landscape" r:id="rId1"/>
  <headerFooter>
    <oddHeader>&amp;L&amp;G&amp;C&amp;"-,Negrito"
&amp;24Caderno de Campo</oddHeader>
    <oddFooter>&amp;C&amp;G</oddFooter>
  </headerFooter>
  <legacyDrawing r:id="rId2"/>
  <legacyDrawingHF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pageSetUpPr fitToPage="1"/>
  </sheetPr>
  <dimension ref="A1:T41"/>
  <sheetViews>
    <sheetView showGridLines="0" showRuler="0" view="pageLayout" zoomScale="80" zoomScaleNormal="100" zoomScalePageLayoutView="80" workbookViewId="0">
      <selection activeCell="H25" sqref="H25:K25"/>
    </sheetView>
  </sheetViews>
  <sheetFormatPr defaultColWidth="9.140625" defaultRowHeight="15" x14ac:dyDescent="0.25"/>
  <cols>
    <col min="1" max="1" width="12.5703125" customWidth="1"/>
    <col min="2" max="2" width="14.42578125" customWidth="1"/>
    <col min="3" max="3" width="11.42578125" customWidth="1"/>
    <col min="4" max="4" width="16.5703125" customWidth="1"/>
    <col min="5" max="5" width="24.5703125" bestFit="1" customWidth="1"/>
    <col min="6" max="6" width="11.42578125" customWidth="1"/>
    <col min="7" max="7" width="12.5703125" customWidth="1"/>
    <col min="8" max="9" width="8.5703125" customWidth="1"/>
    <col min="10" max="10" width="9.42578125" customWidth="1"/>
    <col min="11" max="11" width="8.5703125" customWidth="1"/>
    <col min="12" max="21" width="5.5703125" customWidth="1"/>
  </cols>
  <sheetData>
    <row r="1" spans="1:20" ht="17.25" x14ac:dyDescent="0.3">
      <c r="A1" s="33" t="s">
        <v>387</v>
      </c>
      <c r="B1" s="33"/>
      <c r="C1" s="1"/>
      <c r="D1" s="1"/>
      <c r="R1" s="604" t="s">
        <v>375</v>
      </c>
      <c r="S1" s="604"/>
      <c r="T1" s="604"/>
    </row>
    <row r="2" spans="1:20" ht="17.25" x14ac:dyDescent="0.3">
      <c r="A2" s="33"/>
      <c r="B2" s="33"/>
      <c r="C2" s="1"/>
      <c r="D2" s="1"/>
      <c r="R2" s="259"/>
      <c r="S2" s="259"/>
      <c r="T2" s="259"/>
    </row>
    <row r="3" spans="1:20" ht="17.25" x14ac:dyDescent="0.3">
      <c r="A3" s="661" t="s">
        <v>388</v>
      </c>
      <c r="B3" s="661"/>
      <c r="C3" s="661"/>
      <c r="D3" s="1"/>
      <c r="R3" s="259"/>
      <c r="S3" s="259"/>
      <c r="T3" s="259"/>
    </row>
    <row r="4" spans="1:20" ht="15.75" thickBot="1" x14ac:dyDescent="0.3">
      <c r="A4" s="6"/>
    </row>
    <row r="5" spans="1:20" ht="32.25" customHeight="1" x14ac:dyDescent="0.25">
      <c r="A5" s="639" t="s">
        <v>160</v>
      </c>
      <c r="B5" s="750" t="s">
        <v>32</v>
      </c>
      <c r="C5" s="681" t="s">
        <v>68</v>
      </c>
      <c r="D5" s="688" t="s">
        <v>475</v>
      </c>
      <c r="E5" s="688" t="s">
        <v>383</v>
      </c>
      <c r="F5" s="679" t="s">
        <v>391</v>
      </c>
      <c r="G5" s="681" t="s">
        <v>382</v>
      </c>
      <c r="H5" s="737" t="s">
        <v>144</v>
      </c>
      <c r="I5" s="738"/>
      <c r="J5" s="726" t="s">
        <v>572</v>
      </c>
      <c r="K5" s="726"/>
      <c r="L5" s="726"/>
      <c r="M5" s="726"/>
      <c r="N5" s="726"/>
      <c r="O5" s="726"/>
      <c r="P5" s="726"/>
      <c r="Q5" s="727"/>
    </row>
    <row r="6" spans="1:20" ht="34.5" customHeight="1" thickBot="1" x14ac:dyDescent="0.3">
      <c r="A6" s="640"/>
      <c r="B6" s="751"/>
      <c r="C6" s="683"/>
      <c r="D6" s="689"/>
      <c r="E6" s="689"/>
      <c r="F6" s="680"/>
      <c r="G6" s="683"/>
      <c r="H6" s="435" t="s">
        <v>393</v>
      </c>
      <c r="I6" s="436" t="s">
        <v>394</v>
      </c>
      <c r="J6" s="437" t="s">
        <v>124</v>
      </c>
      <c r="K6" s="438" t="s">
        <v>256</v>
      </c>
      <c r="L6" s="438" t="s">
        <v>157</v>
      </c>
      <c r="M6" s="438" t="s">
        <v>125</v>
      </c>
      <c r="N6" s="438" t="s">
        <v>146</v>
      </c>
      <c r="O6" s="438" t="s">
        <v>257</v>
      </c>
      <c r="P6" s="438" t="s">
        <v>38</v>
      </c>
      <c r="Q6" s="440"/>
    </row>
    <row r="7" spans="1:20" x14ac:dyDescent="0.25">
      <c r="A7" s="151"/>
      <c r="B7" s="151"/>
      <c r="C7" s="209"/>
      <c r="D7" s="70"/>
      <c r="E7" s="149"/>
      <c r="F7" s="211"/>
      <c r="G7" s="148"/>
      <c r="H7" s="212"/>
      <c r="I7" s="122"/>
      <c r="J7" s="102"/>
      <c r="K7" s="72"/>
      <c r="L7" s="72"/>
      <c r="M7" s="72"/>
      <c r="N7" s="72"/>
      <c r="O7" s="72"/>
      <c r="P7" s="72"/>
      <c r="Q7" s="77"/>
    </row>
    <row r="8" spans="1:20" x14ac:dyDescent="0.25">
      <c r="A8" s="154"/>
      <c r="B8" s="154"/>
      <c r="C8" s="61"/>
      <c r="D8" s="137"/>
      <c r="E8" s="50"/>
      <c r="F8" s="210"/>
      <c r="G8" s="51"/>
      <c r="H8" s="84"/>
      <c r="I8" s="85"/>
      <c r="J8" s="120"/>
      <c r="K8" s="121"/>
      <c r="L8" s="121"/>
      <c r="M8" s="121"/>
      <c r="N8" s="121"/>
      <c r="O8" s="121"/>
      <c r="P8" s="121"/>
      <c r="Q8" s="122"/>
    </row>
    <row r="9" spans="1:20" x14ac:dyDescent="0.25">
      <c r="A9" s="154"/>
      <c r="B9" s="154"/>
      <c r="C9" s="61"/>
      <c r="D9" s="54"/>
      <c r="E9" s="57"/>
      <c r="F9" s="58"/>
      <c r="G9" s="52"/>
      <c r="H9" s="84"/>
      <c r="I9" s="85"/>
      <c r="J9" s="103"/>
      <c r="K9" s="80"/>
      <c r="L9" s="80"/>
      <c r="M9" s="80"/>
      <c r="N9" s="80"/>
      <c r="O9" s="80"/>
      <c r="P9" s="80"/>
      <c r="Q9" s="85"/>
    </row>
    <row r="10" spans="1:20" x14ac:dyDescent="0.25">
      <c r="A10" s="154"/>
      <c r="B10" s="154"/>
      <c r="C10" s="61"/>
      <c r="D10" s="54"/>
      <c r="E10" s="57"/>
      <c r="F10" s="58"/>
      <c r="G10" s="52"/>
      <c r="H10" s="84"/>
      <c r="I10" s="85"/>
      <c r="J10" s="103"/>
      <c r="K10" s="80"/>
      <c r="L10" s="80"/>
      <c r="M10" s="80"/>
      <c r="N10" s="80"/>
      <c r="O10" s="80"/>
      <c r="P10" s="80"/>
      <c r="Q10" s="85"/>
    </row>
    <row r="11" spans="1:20" x14ac:dyDescent="0.25">
      <c r="A11" s="154"/>
      <c r="B11" s="154"/>
      <c r="C11" s="61"/>
      <c r="D11" s="54"/>
      <c r="E11" s="57"/>
      <c r="F11" s="58"/>
      <c r="G11" s="52"/>
      <c r="H11" s="84"/>
      <c r="I11" s="85"/>
      <c r="J11" s="103"/>
      <c r="K11" s="80"/>
      <c r="L11" s="80"/>
      <c r="M11" s="80"/>
      <c r="N11" s="80"/>
      <c r="O11" s="80"/>
      <c r="P11" s="80"/>
      <c r="Q11" s="85"/>
    </row>
    <row r="12" spans="1:20" x14ac:dyDescent="0.25">
      <c r="A12" s="154"/>
      <c r="B12" s="154"/>
      <c r="C12" s="61"/>
      <c r="D12" s="54"/>
      <c r="E12" s="57"/>
      <c r="F12" s="58"/>
      <c r="G12" s="52"/>
      <c r="H12" s="84"/>
      <c r="I12" s="85"/>
      <c r="J12" s="103"/>
      <c r="K12" s="80"/>
      <c r="L12" s="80"/>
      <c r="M12" s="80"/>
      <c r="N12" s="80"/>
      <c r="O12" s="80"/>
      <c r="P12" s="80"/>
      <c r="Q12" s="85"/>
    </row>
    <row r="13" spans="1:20" x14ac:dyDescent="0.25">
      <c r="A13" s="154"/>
      <c r="B13" s="154"/>
      <c r="C13" s="61"/>
      <c r="D13" s="54"/>
      <c r="E13" s="57"/>
      <c r="F13" s="58"/>
      <c r="G13" s="52"/>
      <c r="H13" s="84"/>
      <c r="I13" s="85"/>
      <c r="J13" s="103"/>
      <c r="K13" s="80"/>
      <c r="L13" s="80"/>
      <c r="M13" s="80"/>
      <c r="N13" s="80"/>
      <c r="O13" s="80"/>
      <c r="P13" s="80"/>
      <c r="Q13" s="85"/>
    </row>
    <row r="14" spans="1:20" x14ac:dyDescent="0.25">
      <c r="A14" s="154"/>
      <c r="B14" s="154"/>
      <c r="C14" s="61"/>
      <c r="D14" s="54"/>
      <c r="E14" s="57"/>
      <c r="F14" s="58"/>
      <c r="G14" s="52"/>
      <c r="H14" s="84"/>
      <c r="I14" s="85"/>
      <c r="J14" s="103"/>
      <c r="K14" s="80"/>
      <c r="L14" s="80"/>
      <c r="M14" s="80"/>
      <c r="N14" s="80"/>
      <c r="O14" s="80"/>
      <c r="P14" s="80"/>
      <c r="Q14" s="85"/>
    </row>
    <row r="15" spans="1:20" x14ac:dyDescent="0.25">
      <c r="A15" s="154"/>
      <c r="B15" s="154"/>
      <c r="C15" s="61"/>
      <c r="D15" s="54"/>
      <c r="E15" s="57"/>
      <c r="F15" s="58"/>
      <c r="G15" s="52"/>
      <c r="H15" s="84"/>
      <c r="I15" s="85"/>
      <c r="J15" s="103"/>
      <c r="K15" s="80"/>
      <c r="L15" s="80"/>
      <c r="M15" s="80"/>
      <c r="N15" s="80"/>
      <c r="O15" s="80"/>
      <c r="P15" s="80"/>
      <c r="Q15" s="85"/>
    </row>
    <row r="16" spans="1:20" x14ac:dyDescent="0.25">
      <c r="A16" s="154"/>
      <c r="B16" s="154"/>
      <c r="C16" s="61"/>
      <c r="D16" s="54"/>
      <c r="E16" s="57"/>
      <c r="F16" s="58"/>
      <c r="G16" s="52"/>
      <c r="H16" s="84"/>
      <c r="I16" s="85"/>
      <c r="J16" s="103"/>
      <c r="K16" s="80"/>
      <c r="L16" s="80"/>
      <c r="M16" s="80"/>
      <c r="N16" s="80"/>
      <c r="O16" s="80"/>
      <c r="P16" s="80"/>
      <c r="Q16" s="85"/>
    </row>
    <row r="17" spans="1:17" x14ac:dyDescent="0.25">
      <c r="A17" s="154"/>
      <c r="B17" s="154"/>
      <c r="C17" s="61"/>
      <c r="D17" s="54"/>
      <c r="E17" s="57"/>
      <c r="F17" s="58"/>
      <c r="G17" s="52"/>
      <c r="H17" s="84"/>
      <c r="I17" s="85"/>
      <c r="J17" s="103"/>
      <c r="K17" s="80"/>
      <c r="L17" s="80"/>
      <c r="M17" s="80"/>
      <c r="N17" s="80"/>
      <c r="O17" s="80"/>
      <c r="P17" s="80"/>
      <c r="Q17" s="85"/>
    </row>
    <row r="18" spans="1:17" x14ac:dyDescent="0.25">
      <c r="A18" s="154"/>
      <c r="B18" s="154"/>
      <c r="C18" s="61"/>
      <c r="D18" s="54"/>
      <c r="E18" s="57"/>
      <c r="F18" s="58"/>
      <c r="G18" s="52"/>
      <c r="H18" s="84"/>
      <c r="I18" s="85"/>
      <c r="J18" s="103"/>
      <c r="K18" s="80"/>
      <c r="L18" s="80"/>
      <c r="M18" s="80"/>
      <c r="N18" s="80"/>
      <c r="O18" s="80"/>
      <c r="P18" s="80"/>
      <c r="Q18" s="85"/>
    </row>
    <row r="19" spans="1:17" x14ac:dyDescent="0.25">
      <c r="A19" s="154"/>
      <c r="B19" s="154"/>
      <c r="C19" s="61"/>
      <c r="D19" s="54"/>
      <c r="E19" s="57"/>
      <c r="F19" s="58"/>
      <c r="G19" s="52"/>
      <c r="H19" s="84"/>
      <c r="I19" s="85"/>
      <c r="J19" s="103"/>
      <c r="K19" s="80"/>
      <c r="L19" s="80"/>
      <c r="M19" s="80"/>
      <c r="N19" s="80"/>
      <c r="O19" s="80"/>
      <c r="P19" s="80"/>
      <c r="Q19" s="85"/>
    </row>
    <row r="20" spans="1:17" x14ac:dyDescent="0.25">
      <c r="A20" s="154"/>
      <c r="B20" s="154"/>
      <c r="C20" s="61"/>
      <c r="D20" s="54"/>
      <c r="E20" s="57"/>
      <c r="F20" s="58"/>
      <c r="G20" s="52"/>
      <c r="H20" s="84"/>
      <c r="I20" s="85"/>
      <c r="J20" s="103"/>
      <c r="K20" s="80"/>
      <c r="L20" s="80"/>
      <c r="M20" s="80"/>
      <c r="N20" s="80"/>
      <c r="O20" s="80"/>
      <c r="P20" s="80"/>
      <c r="Q20" s="85"/>
    </row>
    <row r="21" spans="1:17" ht="15.75" thickBot="1" x14ac:dyDescent="0.3">
      <c r="A21" s="127"/>
      <c r="B21" s="127"/>
      <c r="C21" s="213"/>
      <c r="D21" s="119"/>
      <c r="E21" s="127"/>
      <c r="F21" s="156"/>
      <c r="G21" s="145"/>
      <c r="H21" s="110"/>
      <c r="I21" s="97"/>
      <c r="J21" s="139"/>
      <c r="K21" s="96"/>
      <c r="L21" s="96"/>
      <c r="M21" s="96"/>
      <c r="N21" s="96"/>
      <c r="O21" s="96"/>
      <c r="P21" s="96"/>
      <c r="Q21" s="97"/>
    </row>
    <row r="22" spans="1:17" x14ac:dyDescent="0.25">
      <c r="A22" s="260"/>
      <c r="B22" s="260"/>
      <c r="C22" s="260"/>
      <c r="D22" s="260"/>
      <c r="E22" s="260"/>
      <c r="F22" s="16"/>
      <c r="G22" s="16"/>
      <c r="H22" s="16"/>
      <c r="I22" s="16"/>
      <c r="J22" s="16"/>
      <c r="K22" s="16"/>
      <c r="L22" s="16"/>
      <c r="M22" s="16"/>
    </row>
    <row r="23" spans="1:17" ht="24.6" customHeight="1" x14ac:dyDescent="0.25">
      <c r="A23" s="749" t="s">
        <v>389</v>
      </c>
      <c r="B23" s="749"/>
      <c r="C23" s="749"/>
      <c r="D23" s="749"/>
      <c r="E23" s="260"/>
      <c r="F23" s="16"/>
      <c r="G23" s="16"/>
      <c r="H23" s="16"/>
      <c r="I23" s="16"/>
      <c r="J23" s="16"/>
      <c r="K23" s="16"/>
      <c r="L23" s="16"/>
      <c r="M23" s="16"/>
    </row>
    <row r="24" spans="1:17" ht="15.75" thickBot="1" x14ac:dyDescent="0.3">
      <c r="A24" s="23"/>
      <c r="B24" s="23"/>
      <c r="C24" s="23"/>
      <c r="D24" s="23"/>
      <c r="E24" s="23"/>
    </row>
    <row r="25" spans="1:17" ht="27" customHeight="1" x14ac:dyDescent="0.25">
      <c r="A25" s="757" t="s">
        <v>160</v>
      </c>
      <c r="B25" s="755" t="s">
        <v>390</v>
      </c>
      <c r="C25" s="755" t="s">
        <v>32</v>
      </c>
      <c r="D25" s="752" t="s">
        <v>395</v>
      </c>
      <c r="E25" s="753"/>
      <c r="F25" s="753"/>
      <c r="G25" s="754"/>
      <c r="H25" s="752" t="s">
        <v>392</v>
      </c>
      <c r="I25" s="753"/>
      <c r="J25" s="753"/>
      <c r="K25" s="754"/>
    </row>
    <row r="26" spans="1:17" ht="15.75" thickBot="1" x14ac:dyDescent="0.3">
      <c r="A26" s="758"/>
      <c r="B26" s="756"/>
      <c r="C26" s="759"/>
      <c r="D26" s="206" t="s">
        <v>161</v>
      </c>
      <c r="E26" s="207" t="s">
        <v>162</v>
      </c>
      <c r="F26" s="207" t="s">
        <v>163</v>
      </c>
      <c r="G26" s="208" t="s">
        <v>164</v>
      </c>
      <c r="H26" s="206" t="s">
        <v>161</v>
      </c>
      <c r="I26" s="207" t="s">
        <v>162</v>
      </c>
      <c r="J26" s="207" t="s">
        <v>163</v>
      </c>
      <c r="K26" s="208" t="s">
        <v>164</v>
      </c>
    </row>
    <row r="27" spans="1:17" x14ac:dyDescent="0.25">
      <c r="A27" s="151"/>
      <c r="B27" s="151"/>
      <c r="C27" s="209"/>
      <c r="D27" s="49"/>
      <c r="E27" s="121"/>
      <c r="F27" s="121"/>
      <c r="G27" s="210"/>
      <c r="H27" s="261" t="e">
        <f>D27/C27</f>
        <v>#DIV/0!</v>
      </c>
      <c r="I27" s="261" t="e">
        <f t="shared" ref="I27:I34" si="0">E27/C27</f>
        <v>#DIV/0!</v>
      </c>
      <c r="J27" s="261" t="e">
        <f t="shared" ref="J27:J34" si="1">F27/C27</f>
        <v>#DIV/0!</v>
      </c>
      <c r="K27" s="261" t="e">
        <f t="shared" ref="K27:K34" si="2">G27/C27</f>
        <v>#DIV/0!</v>
      </c>
    </row>
    <row r="28" spans="1:17" x14ac:dyDescent="0.25">
      <c r="A28" s="154"/>
      <c r="B28" s="154"/>
      <c r="C28" s="61"/>
      <c r="D28" s="49"/>
      <c r="E28" s="121"/>
      <c r="F28" s="121"/>
      <c r="G28" s="210"/>
      <c r="H28" s="261" t="e">
        <f t="shared" ref="H28:H34" si="3">D28/C28</f>
        <v>#DIV/0!</v>
      </c>
      <c r="I28" s="261" t="e">
        <f t="shared" si="0"/>
        <v>#DIV/0!</v>
      </c>
      <c r="J28" s="261" t="e">
        <f t="shared" si="1"/>
        <v>#DIV/0!</v>
      </c>
      <c r="K28" s="261" t="e">
        <f t="shared" si="2"/>
        <v>#DIV/0!</v>
      </c>
    </row>
    <row r="29" spans="1:17" x14ac:dyDescent="0.25">
      <c r="A29" s="154"/>
      <c r="B29" s="154"/>
      <c r="C29" s="61"/>
      <c r="D29" s="56"/>
      <c r="E29" s="80"/>
      <c r="F29" s="80"/>
      <c r="G29" s="58"/>
      <c r="H29" s="261" t="e">
        <f t="shared" si="3"/>
        <v>#DIV/0!</v>
      </c>
      <c r="I29" s="261" t="e">
        <f t="shared" si="0"/>
        <v>#DIV/0!</v>
      </c>
      <c r="J29" s="261" t="e">
        <f t="shared" si="1"/>
        <v>#DIV/0!</v>
      </c>
      <c r="K29" s="261" t="e">
        <f t="shared" si="2"/>
        <v>#DIV/0!</v>
      </c>
    </row>
    <row r="30" spans="1:17" x14ac:dyDescent="0.25">
      <c r="A30" s="154"/>
      <c r="B30" s="154"/>
      <c r="C30" s="61"/>
      <c r="D30" s="56"/>
      <c r="E30" s="80"/>
      <c r="F30" s="80"/>
      <c r="G30" s="58"/>
      <c r="H30" s="261" t="e">
        <f t="shared" si="3"/>
        <v>#DIV/0!</v>
      </c>
      <c r="I30" s="261" t="e">
        <f t="shared" si="0"/>
        <v>#DIV/0!</v>
      </c>
      <c r="J30" s="261" t="e">
        <f t="shared" si="1"/>
        <v>#DIV/0!</v>
      </c>
      <c r="K30" s="261" t="e">
        <f t="shared" si="2"/>
        <v>#DIV/0!</v>
      </c>
    </row>
    <row r="31" spans="1:17" x14ac:dyDescent="0.25">
      <c r="A31" s="154"/>
      <c r="B31" s="154"/>
      <c r="C31" s="61"/>
      <c r="D31" s="56"/>
      <c r="E31" s="80"/>
      <c r="F31" s="80"/>
      <c r="G31" s="58"/>
      <c r="H31" s="261" t="e">
        <f t="shared" si="3"/>
        <v>#DIV/0!</v>
      </c>
      <c r="I31" s="261" t="e">
        <f t="shared" si="0"/>
        <v>#DIV/0!</v>
      </c>
      <c r="J31" s="261" t="e">
        <f t="shared" si="1"/>
        <v>#DIV/0!</v>
      </c>
      <c r="K31" s="261" t="e">
        <f t="shared" si="2"/>
        <v>#DIV/0!</v>
      </c>
    </row>
    <row r="32" spans="1:17" x14ac:dyDescent="0.25">
      <c r="A32" s="154"/>
      <c r="B32" s="154"/>
      <c r="C32" s="61"/>
      <c r="D32" s="56"/>
      <c r="E32" s="80"/>
      <c r="F32" s="80"/>
      <c r="G32" s="58"/>
      <c r="H32" s="261" t="e">
        <f t="shared" si="3"/>
        <v>#DIV/0!</v>
      </c>
      <c r="I32" s="261" t="e">
        <f t="shared" si="0"/>
        <v>#DIV/0!</v>
      </c>
      <c r="J32" s="261" t="e">
        <f t="shared" si="1"/>
        <v>#DIV/0!</v>
      </c>
      <c r="K32" s="261" t="e">
        <f t="shared" si="2"/>
        <v>#DIV/0!</v>
      </c>
    </row>
    <row r="33" spans="1:11" x14ac:dyDescent="0.25">
      <c r="A33" s="154"/>
      <c r="B33" s="154"/>
      <c r="C33" s="61"/>
      <c r="D33" s="56"/>
      <c r="E33" s="80"/>
      <c r="F33" s="80"/>
      <c r="G33" s="58"/>
      <c r="H33" s="261" t="e">
        <f t="shared" si="3"/>
        <v>#DIV/0!</v>
      </c>
      <c r="I33" s="261" t="e">
        <f t="shared" si="0"/>
        <v>#DIV/0!</v>
      </c>
      <c r="J33" s="261" t="e">
        <f t="shared" si="1"/>
        <v>#DIV/0!</v>
      </c>
      <c r="K33" s="261" t="e">
        <f t="shared" si="2"/>
        <v>#DIV/0!</v>
      </c>
    </row>
    <row r="34" spans="1:11" x14ac:dyDescent="0.25">
      <c r="A34" s="154"/>
      <c r="B34" s="154"/>
      <c r="C34" s="61"/>
      <c r="D34" s="56"/>
      <c r="E34" s="80"/>
      <c r="F34" s="80"/>
      <c r="G34" s="58"/>
      <c r="H34" s="261" t="e">
        <f t="shared" si="3"/>
        <v>#DIV/0!</v>
      </c>
      <c r="I34" s="261" t="e">
        <f t="shared" si="0"/>
        <v>#DIV/0!</v>
      </c>
      <c r="J34" s="261" t="e">
        <f t="shared" si="1"/>
        <v>#DIV/0!</v>
      </c>
      <c r="K34" s="261" t="e">
        <f t="shared" si="2"/>
        <v>#DIV/0!</v>
      </c>
    </row>
    <row r="41" spans="1:11" ht="14.45" customHeight="1" x14ac:dyDescent="0.25"/>
  </sheetData>
  <mergeCells count="17">
    <mergeCell ref="D25:G25"/>
    <mergeCell ref="B25:B26"/>
    <mergeCell ref="H25:K25"/>
    <mergeCell ref="A25:A26"/>
    <mergeCell ref="C25:C26"/>
    <mergeCell ref="A23:D23"/>
    <mergeCell ref="R1:T1"/>
    <mergeCell ref="A5:A6"/>
    <mergeCell ref="B5:B6"/>
    <mergeCell ref="D5:D6"/>
    <mergeCell ref="C5:C6"/>
    <mergeCell ref="E5:E6"/>
    <mergeCell ref="F5:F6"/>
    <mergeCell ref="G5:G6"/>
    <mergeCell ref="J5:Q5"/>
    <mergeCell ref="H5:I5"/>
    <mergeCell ref="A3:C3"/>
  </mergeCells>
  <hyperlinks>
    <hyperlink ref="R1:T1" location="Índice!A1" display="Voltar ao índice" xr:uid="{00000000-0004-0000-0800-000000000000}"/>
  </hyperlinks>
  <pageMargins left="0.70866141732283472" right="0.70866141732283472" top="1.3779527559055118" bottom="0.74803149606299213" header="0.31496062992125984" footer="0.31496062992125984"/>
  <pageSetup paperSize="9" scale="69" orientation="landscape" r:id="rId1"/>
  <headerFooter>
    <oddHeader>&amp;L&amp;G&amp;C&amp;"-,Negrito"
&amp;24Caderno de Campo</oddHeader>
    <oddFooter>&amp;C&amp;G</oddFooter>
  </headerFooter>
  <legacyDrawing r:id="rId2"/>
  <legacyDrawingHF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pageSetUpPr fitToPage="1"/>
  </sheetPr>
  <dimension ref="A3:N94"/>
  <sheetViews>
    <sheetView showGridLines="0" showRuler="0" view="pageLayout" zoomScale="80" zoomScaleNormal="100" zoomScalePageLayoutView="80" workbookViewId="0">
      <selection activeCell="G94" sqref="G94"/>
    </sheetView>
  </sheetViews>
  <sheetFormatPr defaultRowHeight="15" x14ac:dyDescent="0.25"/>
  <cols>
    <col min="1" max="1" width="27.42578125" customWidth="1"/>
    <col min="2" max="2" width="24" customWidth="1"/>
    <col min="3" max="3" width="15.28515625" customWidth="1"/>
    <col min="4" max="4" width="12.5703125" customWidth="1"/>
    <col min="5" max="5" width="13.5703125" customWidth="1"/>
    <col min="6" max="6" width="13.85546875" customWidth="1"/>
    <col min="7" max="7" width="13.28515625" customWidth="1"/>
    <col min="8" max="8" width="13.42578125" customWidth="1"/>
    <col min="9" max="9" width="13.7109375" customWidth="1"/>
    <col min="10" max="10" width="11.7109375" customWidth="1"/>
    <col min="11" max="11" width="13.28515625" customWidth="1"/>
  </cols>
  <sheetData>
    <row r="3" spans="1:13" ht="18" customHeight="1" x14ac:dyDescent="0.3">
      <c r="A3" s="650" t="s">
        <v>526</v>
      </c>
      <c r="B3" s="650"/>
      <c r="C3" s="33"/>
      <c r="D3" s="33"/>
      <c r="E3" s="33"/>
      <c r="F3" s="33"/>
      <c r="K3" s="604" t="s">
        <v>375</v>
      </c>
      <c r="L3" s="604"/>
    </row>
    <row r="5" spans="1:13" ht="15.75" thickBot="1" x14ac:dyDescent="0.3">
      <c r="A5" s="5"/>
    </row>
    <row r="6" spans="1:13" ht="30.75" thickBot="1" x14ac:dyDescent="0.3">
      <c r="A6" s="356" t="s">
        <v>60</v>
      </c>
      <c r="B6" s="111"/>
      <c r="C6" s="20" t="s">
        <v>139</v>
      </c>
      <c r="D6" s="128" t="s">
        <v>140</v>
      </c>
      <c r="E6" s="129"/>
      <c r="F6" s="128" t="s">
        <v>141</v>
      </c>
      <c r="G6" s="106"/>
      <c r="H6" s="357" t="s">
        <v>32</v>
      </c>
      <c r="I6" s="131"/>
      <c r="K6" s="357" t="s">
        <v>151</v>
      </c>
      <c r="L6" s="116"/>
      <c r="M6" s="132"/>
    </row>
    <row r="7" spans="1:13" x14ac:dyDescent="0.25">
      <c r="A7" s="113"/>
    </row>
    <row r="8" spans="1:13" x14ac:dyDescent="0.25">
      <c r="A8" s="615" t="s">
        <v>62</v>
      </c>
      <c r="B8" s="615"/>
      <c r="C8" s="615"/>
      <c r="D8" s="731"/>
      <c r="E8" s="732"/>
      <c r="F8" s="8"/>
      <c r="G8" s="66"/>
      <c r="J8" s="66"/>
      <c r="K8" s="66"/>
    </row>
    <row r="9" spans="1:13" x14ac:dyDescent="0.25">
      <c r="A9" s="114"/>
      <c r="B9" s="114"/>
      <c r="C9" s="114"/>
      <c r="D9" s="8"/>
      <c r="E9" s="8"/>
      <c r="F9" s="8"/>
      <c r="G9" s="66"/>
      <c r="J9" s="66"/>
      <c r="K9" s="66"/>
    </row>
    <row r="10" spans="1:13" ht="30" x14ac:dyDescent="0.25">
      <c r="A10" s="133" t="s">
        <v>126</v>
      </c>
      <c r="B10" s="115"/>
      <c r="C10" s="133" t="s">
        <v>127</v>
      </c>
      <c r="D10" s="10"/>
      <c r="E10" s="134" t="s">
        <v>128</v>
      </c>
      <c r="F10" s="10"/>
      <c r="G10" s="21" t="s">
        <v>134</v>
      </c>
      <c r="H10" s="106"/>
      <c r="J10" s="66"/>
      <c r="K10" s="66"/>
    </row>
    <row r="11" spans="1:13" x14ac:dyDescent="0.25">
      <c r="A11" s="114"/>
      <c r="B11" s="114"/>
      <c r="C11" s="114"/>
      <c r="D11" s="114"/>
      <c r="E11" s="114"/>
      <c r="F11" s="114"/>
      <c r="G11" s="114"/>
      <c r="H11" s="114"/>
      <c r="I11" s="66"/>
      <c r="J11" s="66"/>
      <c r="K11" s="66"/>
    </row>
    <row r="12" spans="1:13" x14ac:dyDescent="0.25">
      <c r="A12" s="114"/>
      <c r="B12" s="20" t="s">
        <v>66</v>
      </c>
      <c r="C12" s="135" t="s">
        <v>64</v>
      </c>
      <c r="F12" s="20" t="s">
        <v>67</v>
      </c>
      <c r="G12" s="21" t="s">
        <v>64</v>
      </c>
      <c r="J12" s="66"/>
      <c r="K12" s="66"/>
    </row>
    <row r="13" spans="1:13" x14ac:dyDescent="0.25">
      <c r="A13" s="136" t="s">
        <v>65</v>
      </c>
      <c r="B13" s="117"/>
      <c r="C13" s="135" t="s">
        <v>136</v>
      </c>
      <c r="E13" s="109"/>
      <c r="F13" s="117"/>
      <c r="G13" s="21" t="s">
        <v>136</v>
      </c>
      <c r="J13" s="66"/>
      <c r="K13" s="66"/>
    </row>
    <row r="15" spans="1:13" x14ac:dyDescent="0.25">
      <c r="A15" s="766" t="s">
        <v>400</v>
      </c>
      <c r="B15" s="766"/>
    </row>
    <row r="16" spans="1:13" ht="15.75" thickBot="1" x14ac:dyDescent="0.3">
      <c r="C16" s="267"/>
      <c r="D16" s="267"/>
      <c r="E16" s="267"/>
      <c r="F16" s="267"/>
      <c r="G16" s="237"/>
      <c r="H16" s="237"/>
      <c r="I16" s="237"/>
    </row>
    <row r="17" spans="1:14" ht="112.15" customHeight="1" x14ac:dyDescent="0.25">
      <c r="A17" s="554" t="s">
        <v>401</v>
      </c>
      <c r="B17" s="540" t="s">
        <v>402</v>
      </c>
      <c r="C17" s="543" t="s">
        <v>543</v>
      </c>
      <c r="D17" s="543" t="s">
        <v>407</v>
      </c>
      <c r="E17" s="543" t="s">
        <v>403</v>
      </c>
      <c r="F17" s="543" t="s">
        <v>404</v>
      </c>
      <c r="G17" s="543" t="s">
        <v>544</v>
      </c>
      <c r="H17" s="540" t="s">
        <v>606</v>
      </c>
      <c r="I17" s="544" t="s">
        <v>605</v>
      </c>
      <c r="J17" s="543" t="s">
        <v>405</v>
      </c>
      <c r="K17" s="541" t="s">
        <v>406</v>
      </c>
    </row>
    <row r="18" spans="1:14" x14ac:dyDescent="0.25">
      <c r="A18" s="545"/>
      <c r="B18" s="455"/>
      <c r="C18" s="455"/>
      <c r="D18" s="455"/>
      <c r="E18" s="262"/>
      <c r="F18" s="263"/>
      <c r="G18" s="263"/>
      <c r="H18" s="571">
        <f>(G18*1000000/100)</f>
        <v>0</v>
      </c>
      <c r="I18" s="271">
        <f t="shared" ref="I18:I27" si="0">H18*0.000001*F18</f>
        <v>0</v>
      </c>
      <c r="J18" s="292">
        <f t="shared" ref="J18:J27" si="1">F18*$I$6</f>
        <v>0</v>
      </c>
      <c r="K18" s="546">
        <f>I18*$I$6</f>
        <v>0</v>
      </c>
      <c r="L18" s="764"/>
    </row>
    <row r="19" spans="1:14" x14ac:dyDescent="0.25">
      <c r="A19" s="545"/>
      <c r="B19" s="455"/>
      <c r="C19" s="455"/>
      <c r="D19" s="455"/>
      <c r="E19" s="264"/>
      <c r="F19" s="263"/>
      <c r="G19" s="263"/>
      <c r="H19" s="571">
        <f>(G19*1000000/100)</f>
        <v>0</v>
      </c>
      <c r="I19" s="271">
        <f t="shared" si="0"/>
        <v>0</v>
      </c>
      <c r="J19" s="292">
        <f t="shared" si="1"/>
        <v>0</v>
      </c>
      <c r="K19" s="546">
        <f t="shared" ref="K19:K27" si="2">I19*$I$6</f>
        <v>0</v>
      </c>
      <c r="L19" s="765"/>
    </row>
    <row r="20" spans="1:14" x14ac:dyDescent="0.25">
      <c r="A20" s="545"/>
      <c r="B20" s="455"/>
      <c r="C20" s="455"/>
      <c r="D20" s="455"/>
      <c r="E20" s="264"/>
      <c r="F20" s="263"/>
      <c r="G20" s="263"/>
      <c r="H20" s="571">
        <f t="shared" ref="H20:H27" si="3">(G20*1000000/100)</f>
        <v>0</v>
      </c>
      <c r="I20" s="271">
        <f t="shared" si="0"/>
        <v>0</v>
      </c>
      <c r="J20" s="292">
        <f t="shared" si="1"/>
        <v>0</v>
      </c>
      <c r="K20" s="546">
        <f t="shared" si="2"/>
        <v>0</v>
      </c>
      <c r="L20" s="765"/>
    </row>
    <row r="21" spans="1:14" x14ac:dyDescent="0.25">
      <c r="A21" s="545"/>
      <c r="B21" s="455"/>
      <c r="C21" s="455"/>
      <c r="D21" s="455"/>
      <c r="E21" s="264"/>
      <c r="F21" s="263"/>
      <c r="G21" s="263"/>
      <c r="H21" s="571">
        <f t="shared" si="3"/>
        <v>0</v>
      </c>
      <c r="I21" s="271">
        <f t="shared" si="0"/>
        <v>0</v>
      </c>
      <c r="J21" s="292">
        <f t="shared" si="1"/>
        <v>0</v>
      </c>
      <c r="K21" s="546">
        <f t="shared" si="2"/>
        <v>0</v>
      </c>
      <c r="L21" s="765"/>
    </row>
    <row r="22" spans="1:14" x14ac:dyDescent="0.25">
      <c r="A22" s="545"/>
      <c r="B22" s="455"/>
      <c r="C22" s="455"/>
      <c r="D22" s="455"/>
      <c r="E22" s="264"/>
      <c r="F22" s="263"/>
      <c r="G22" s="263"/>
      <c r="H22" s="571">
        <f t="shared" si="3"/>
        <v>0</v>
      </c>
      <c r="I22" s="271">
        <f t="shared" si="0"/>
        <v>0</v>
      </c>
      <c r="J22" s="292">
        <f t="shared" si="1"/>
        <v>0</v>
      </c>
      <c r="K22" s="546">
        <f t="shared" si="2"/>
        <v>0</v>
      </c>
      <c r="L22" s="765"/>
    </row>
    <row r="23" spans="1:14" x14ac:dyDescent="0.25">
      <c r="A23" s="545"/>
      <c r="B23" s="455"/>
      <c r="C23" s="455"/>
      <c r="D23" s="455"/>
      <c r="E23" s="264"/>
      <c r="F23" s="263"/>
      <c r="G23" s="263"/>
      <c r="H23" s="571">
        <f t="shared" si="3"/>
        <v>0</v>
      </c>
      <c r="I23" s="271">
        <f t="shared" si="0"/>
        <v>0</v>
      </c>
      <c r="J23" s="292">
        <f t="shared" si="1"/>
        <v>0</v>
      </c>
      <c r="K23" s="546">
        <f t="shared" ref="K23" si="4">I23*$I$6</f>
        <v>0</v>
      </c>
      <c r="L23" s="765"/>
    </row>
    <row r="24" spans="1:14" x14ac:dyDescent="0.25">
      <c r="A24" s="545"/>
      <c r="B24" s="455"/>
      <c r="C24" s="455"/>
      <c r="D24" s="455"/>
      <c r="E24" s="264"/>
      <c r="F24" s="263"/>
      <c r="G24" s="263"/>
      <c r="H24" s="571">
        <f t="shared" si="3"/>
        <v>0</v>
      </c>
      <c r="I24" s="271">
        <f t="shared" si="0"/>
        <v>0</v>
      </c>
      <c r="J24" s="292">
        <f t="shared" si="1"/>
        <v>0</v>
      </c>
      <c r="K24" s="546">
        <f t="shared" si="2"/>
        <v>0</v>
      </c>
      <c r="L24" s="765"/>
    </row>
    <row r="25" spans="1:14" x14ac:dyDescent="0.25">
      <c r="A25" s="545"/>
      <c r="B25" s="455"/>
      <c r="C25" s="455"/>
      <c r="D25" s="455"/>
      <c r="E25" s="264"/>
      <c r="F25" s="263"/>
      <c r="G25" s="263"/>
      <c r="H25" s="571">
        <f t="shared" si="3"/>
        <v>0</v>
      </c>
      <c r="I25" s="271">
        <f t="shared" si="0"/>
        <v>0</v>
      </c>
      <c r="J25" s="292">
        <f t="shared" si="1"/>
        <v>0</v>
      </c>
      <c r="K25" s="546">
        <f t="shared" si="2"/>
        <v>0</v>
      </c>
      <c r="L25" s="765"/>
    </row>
    <row r="26" spans="1:14" x14ac:dyDescent="0.25">
      <c r="A26" s="545"/>
      <c r="B26" s="455"/>
      <c r="C26" s="455"/>
      <c r="D26" s="455"/>
      <c r="E26" s="264"/>
      <c r="F26" s="263"/>
      <c r="G26" s="263"/>
      <c r="H26" s="571">
        <f t="shared" si="3"/>
        <v>0</v>
      </c>
      <c r="I26" s="271">
        <f t="shared" si="0"/>
        <v>0</v>
      </c>
      <c r="J26" s="292">
        <f t="shared" si="1"/>
        <v>0</v>
      </c>
      <c r="K26" s="546">
        <f t="shared" si="2"/>
        <v>0</v>
      </c>
      <c r="L26" s="765"/>
    </row>
    <row r="27" spans="1:14" ht="15.75" thickBot="1" x14ac:dyDescent="0.3">
      <c r="A27" s="547"/>
      <c r="B27" s="548"/>
      <c r="C27" s="548"/>
      <c r="D27" s="548"/>
      <c r="E27" s="549"/>
      <c r="F27" s="550"/>
      <c r="G27" s="550"/>
      <c r="H27" s="571">
        <f t="shared" si="3"/>
        <v>0</v>
      </c>
      <c r="I27" s="551">
        <f t="shared" si="0"/>
        <v>0</v>
      </c>
      <c r="J27" s="552">
        <f t="shared" si="1"/>
        <v>0</v>
      </c>
      <c r="K27" s="553">
        <f t="shared" si="2"/>
        <v>0</v>
      </c>
      <c r="L27" s="765"/>
    </row>
    <row r="28" spans="1:14" ht="15.75" thickBot="1" x14ac:dyDescent="0.3">
      <c r="A28" s="265"/>
      <c r="B28" s="265"/>
      <c r="C28" s="265"/>
      <c r="D28" s="266"/>
      <c r="E28" s="761"/>
      <c r="F28" s="761"/>
      <c r="G28" s="542" t="s">
        <v>399</v>
      </c>
      <c r="H28" s="555" t="e">
        <f>(K28*1000000/J28)</f>
        <v>#DIV/0!</v>
      </c>
      <c r="I28" s="572" t="e">
        <f>K28/$I$6</f>
        <v>#DIV/0!</v>
      </c>
      <c r="J28" s="556">
        <f>SUM(J18:J27)</f>
        <v>0</v>
      </c>
      <c r="K28" s="555">
        <f>SUM(K18:K27)</f>
        <v>0</v>
      </c>
      <c r="L28" s="765"/>
    </row>
    <row r="29" spans="1:14" x14ac:dyDescent="0.25">
      <c r="B29" s="68"/>
      <c r="C29" s="68"/>
      <c r="D29" s="68"/>
      <c r="E29" s="68"/>
      <c r="F29" s="68"/>
      <c r="G29" s="68"/>
      <c r="H29" s="68"/>
      <c r="I29" s="68"/>
      <c r="J29" s="68"/>
      <c r="K29" s="68"/>
      <c r="L29" s="68"/>
      <c r="M29" s="68"/>
      <c r="N29" s="68"/>
    </row>
    <row r="31" spans="1:14" x14ac:dyDescent="0.25">
      <c r="B31" s="418"/>
      <c r="C31" s="418"/>
      <c r="D31" s="418"/>
      <c r="E31" s="418"/>
      <c r="F31" s="418"/>
      <c r="G31" s="418"/>
      <c r="H31" s="418"/>
      <c r="I31" s="418"/>
      <c r="J31" s="418"/>
      <c r="K31" s="418"/>
      <c r="L31" s="418"/>
      <c r="M31" s="418"/>
      <c r="N31" s="418"/>
    </row>
    <row r="32" spans="1:14" x14ac:dyDescent="0.25">
      <c r="B32" s="418"/>
      <c r="C32" s="418"/>
      <c r="D32" s="418"/>
      <c r="E32" s="418"/>
      <c r="F32" s="418"/>
      <c r="G32" s="418"/>
      <c r="H32" s="418"/>
      <c r="I32" s="418"/>
      <c r="J32" s="418"/>
      <c r="K32" s="418"/>
      <c r="L32" s="418"/>
      <c r="M32" s="418"/>
      <c r="N32" s="418"/>
    </row>
    <row r="33" spans="1:14" x14ac:dyDescent="0.25">
      <c r="B33" s="418"/>
      <c r="C33" s="418"/>
      <c r="D33" s="418"/>
      <c r="E33" s="418"/>
      <c r="F33" s="418"/>
      <c r="G33" s="418"/>
      <c r="H33" s="418"/>
      <c r="I33" s="418"/>
      <c r="J33" s="418"/>
      <c r="K33" s="418"/>
      <c r="L33" s="418"/>
      <c r="M33" s="418"/>
      <c r="N33" s="418"/>
    </row>
    <row r="34" spans="1:14" x14ac:dyDescent="0.25">
      <c r="A34" s="760" t="s">
        <v>557</v>
      </c>
      <c r="B34" s="760"/>
      <c r="C34" s="418"/>
      <c r="D34" s="418"/>
      <c r="E34" s="418"/>
      <c r="F34" s="418"/>
      <c r="G34" s="418"/>
      <c r="H34" s="418"/>
      <c r="I34" s="418"/>
      <c r="J34" s="418"/>
      <c r="K34" s="418"/>
      <c r="L34" s="418"/>
      <c r="M34" s="418"/>
      <c r="N34" s="418"/>
    </row>
    <row r="35" spans="1:14" ht="15.75" thickBot="1" x14ac:dyDescent="0.3">
      <c r="B35" s="418"/>
      <c r="C35" s="418"/>
      <c r="D35" s="418"/>
      <c r="E35" s="418"/>
      <c r="F35" s="418"/>
      <c r="G35" s="418"/>
      <c r="H35" s="418"/>
      <c r="I35" s="418"/>
      <c r="J35" s="418"/>
      <c r="K35" s="418"/>
      <c r="L35" s="418"/>
      <c r="M35" s="418"/>
      <c r="N35" s="418"/>
    </row>
    <row r="36" spans="1:14" ht="88.9" customHeight="1" thickBot="1" x14ac:dyDescent="0.3">
      <c r="A36" s="483" t="s">
        <v>596</v>
      </c>
      <c r="B36" s="484" t="s">
        <v>558</v>
      </c>
      <c r="C36" s="484" t="s">
        <v>559</v>
      </c>
      <c r="D36" s="484" t="s">
        <v>560</v>
      </c>
      <c r="E36" s="484" t="s">
        <v>561</v>
      </c>
      <c r="F36" s="485" t="s">
        <v>562</v>
      </c>
      <c r="G36" s="486" t="s">
        <v>563</v>
      </c>
      <c r="H36" s="418"/>
      <c r="I36" s="418"/>
      <c r="J36" s="418"/>
      <c r="K36" s="418"/>
      <c r="L36" s="418"/>
      <c r="M36" s="418"/>
    </row>
    <row r="37" spans="1:14" x14ac:dyDescent="0.25">
      <c r="A37" s="474"/>
      <c r="B37" s="474"/>
      <c r="C37" s="474"/>
      <c r="D37" s="474"/>
      <c r="E37" s="474"/>
      <c r="F37" s="475"/>
      <c r="G37" s="476"/>
      <c r="H37" s="418"/>
      <c r="I37" s="418"/>
      <c r="J37" s="418"/>
      <c r="K37" s="418"/>
      <c r="L37" s="418"/>
      <c r="M37" s="418"/>
    </row>
    <row r="38" spans="1:14" x14ac:dyDescent="0.25">
      <c r="A38" s="474"/>
      <c r="B38" s="474"/>
      <c r="C38" s="474"/>
      <c r="D38" s="474"/>
      <c r="E38" s="474"/>
      <c r="F38" s="477"/>
      <c r="G38" s="478"/>
      <c r="H38" s="418"/>
      <c r="I38" s="418"/>
      <c r="J38" s="418"/>
      <c r="K38" s="418"/>
      <c r="L38" s="418"/>
      <c r="M38" s="418"/>
    </row>
    <row r="39" spans="1:14" x14ac:dyDescent="0.25">
      <c r="A39" s="474"/>
      <c r="B39" s="474"/>
      <c r="C39" s="474"/>
      <c r="D39" s="474"/>
      <c r="E39" s="474"/>
      <c r="F39" s="477"/>
      <c r="G39" s="478"/>
      <c r="H39" s="418"/>
      <c r="I39" s="418"/>
      <c r="J39" s="418"/>
      <c r="K39" s="418"/>
      <c r="L39" s="418"/>
      <c r="M39" s="418"/>
    </row>
    <row r="40" spans="1:14" x14ac:dyDescent="0.25">
      <c r="A40" s="474"/>
      <c r="B40" s="474"/>
      <c r="C40" s="474"/>
      <c r="D40" s="474"/>
      <c r="E40" s="474"/>
      <c r="F40" s="477"/>
      <c r="G40" s="478"/>
      <c r="H40" s="418"/>
      <c r="I40" s="418"/>
      <c r="J40" s="418"/>
      <c r="K40" s="418"/>
      <c r="L40" s="418"/>
      <c r="M40" s="418"/>
    </row>
    <row r="41" spans="1:14" x14ac:dyDescent="0.25">
      <c r="A41" s="474"/>
      <c r="B41" s="474"/>
      <c r="C41" s="474"/>
      <c r="D41" s="474"/>
      <c r="E41" s="474"/>
      <c r="F41" s="477"/>
      <c r="G41" s="478"/>
      <c r="H41" s="418"/>
      <c r="I41" s="418"/>
      <c r="J41" s="418"/>
      <c r="K41" s="418"/>
      <c r="L41" s="418"/>
      <c r="M41" s="418"/>
    </row>
    <row r="42" spans="1:14" x14ac:dyDescent="0.25">
      <c r="A42" s="474"/>
      <c r="B42" s="474"/>
      <c r="C42" s="474"/>
      <c r="D42" s="474"/>
      <c r="E42" s="474"/>
      <c r="F42" s="477"/>
      <c r="G42" s="478"/>
      <c r="H42" s="418"/>
      <c r="I42" s="108"/>
      <c r="J42" s="108"/>
      <c r="K42" s="108"/>
      <c r="L42" s="108"/>
      <c r="M42" s="108"/>
    </row>
    <row r="43" spans="1:14" x14ac:dyDescent="0.25">
      <c r="A43" s="474"/>
      <c r="B43" s="474"/>
      <c r="C43" s="474"/>
      <c r="D43" s="474"/>
      <c r="E43" s="474"/>
      <c r="F43" s="477"/>
      <c r="G43" s="478"/>
      <c r="H43" s="418"/>
      <c r="I43" s="108"/>
      <c r="J43" s="108"/>
      <c r="K43" s="108"/>
      <c r="L43" s="108"/>
      <c r="M43" s="108"/>
    </row>
    <row r="44" spans="1:14" x14ac:dyDescent="0.25">
      <c r="A44" s="474"/>
      <c r="B44" s="474"/>
      <c r="C44" s="474"/>
      <c r="D44" s="474"/>
      <c r="E44" s="474"/>
      <c r="F44" s="477"/>
      <c r="G44" s="478"/>
      <c r="H44" s="418"/>
      <c r="I44" s="108"/>
      <c r="J44" s="108"/>
      <c r="K44" s="108"/>
      <c r="L44" s="108"/>
      <c r="M44" s="108"/>
    </row>
    <row r="45" spans="1:14" x14ac:dyDescent="0.25">
      <c r="A45" s="474"/>
      <c r="B45" s="474"/>
      <c r="C45" s="474"/>
      <c r="D45" s="474"/>
      <c r="E45" s="474"/>
      <c r="F45" s="477"/>
      <c r="G45" s="478"/>
      <c r="H45" s="418"/>
      <c r="I45" s="108"/>
      <c r="J45" s="108"/>
      <c r="K45" s="108"/>
      <c r="L45" s="108"/>
      <c r="M45" s="108"/>
    </row>
    <row r="46" spans="1:14" x14ac:dyDescent="0.25">
      <c r="A46" s="474"/>
      <c r="B46" s="474"/>
      <c r="C46" s="474"/>
      <c r="D46" s="474"/>
      <c r="E46" s="474"/>
      <c r="F46" s="477"/>
      <c r="G46" s="478"/>
      <c r="H46" s="418"/>
      <c r="I46" s="108"/>
      <c r="J46" s="108"/>
      <c r="K46" s="108"/>
      <c r="L46" s="108"/>
      <c r="M46" s="108"/>
    </row>
    <row r="47" spans="1:14" x14ac:dyDescent="0.25">
      <c r="A47" s="474"/>
      <c r="B47" s="474"/>
      <c r="C47" s="474"/>
      <c r="D47" s="474"/>
      <c r="E47" s="474"/>
      <c r="F47" s="477"/>
      <c r="G47" s="478"/>
      <c r="H47" s="418"/>
      <c r="I47" s="418"/>
      <c r="J47" s="418"/>
      <c r="K47" s="418"/>
      <c r="L47" s="418"/>
      <c r="M47" s="418"/>
    </row>
    <row r="48" spans="1:14" x14ac:dyDescent="0.25">
      <c r="A48" s="474"/>
      <c r="B48" s="474"/>
      <c r="C48" s="474"/>
      <c r="D48" s="474"/>
      <c r="E48" s="474"/>
      <c r="F48" s="477"/>
      <c r="G48" s="478"/>
      <c r="H48" s="418"/>
      <c r="I48" s="418"/>
      <c r="J48" s="418"/>
      <c r="K48" s="418"/>
      <c r="L48" s="418"/>
      <c r="M48" s="418"/>
    </row>
    <row r="49" spans="1:13" x14ac:dyDescent="0.25">
      <c r="A49" s="474"/>
      <c r="B49" s="474"/>
      <c r="C49" s="474"/>
      <c r="D49" s="474"/>
      <c r="E49" s="474"/>
      <c r="F49" s="477"/>
      <c r="G49" s="478"/>
      <c r="H49" s="418"/>
      <c r="I49" s="418"/>
      <c r="J49" s="418"/>
      <c r="K49" s="418"/>
      <c r="L49" s="418"/>
      <c r="M49" s="418"/>
    </row>
    <row r="50" spans="1:13" x14ac:dyDescent="0.25">
      <c r="A50" s="474"/>
      <c r="B50" s="474"/>
      <c r="C50" s="474"/>
      <c r="D50" s="474"/>
      <c r="E50" s="474"/>
      <c r="F50" s="477"/>
      <c r="G50" s="478"/>
      <c r="H50" s="418"/>
      <c r="I50" s="418"/>
      <c r="J50" s="418"/>
      <c r="K50" s="418"/>
      <c r="L50" s="418"/>
      <c r="M50" s="418"/>
    </row>
    <row r="51" spans="1:13" x14ac:dyDescent="0.25">
      <c r="A51" s="474"/>
      <c r="B51" s="474"/>
      <c r="C51" s="474"/>
      <c r="D51" s="474"/>
      <c r="E51" s="474"/>
      <c r="F51" s="477"/>
      <c r="G51" s="478"/>
      <c r="H51" s="418"/>
      <c r="I51" s="418"/>
      <c r="J51" s="418"/>
      <c r="K51" s="418"/>
      <c r="L51" s="418"/>
      <c r="M51" s="418"/>
    </row>
    <row r="52" spans="1:13" x14ac:dyDescent="0.25">
      <c r="A52" s="474"/>
      <c r="B52" s="474"/>
      <c r="C52" s="474"/>
      <c r="D52" s="474"/>
      <c r="E52" s="474"/>
      <c r="F52" s="477"/>
      <c r="G52" s="478"/>
      <c r="H52" s="418"/>
      <c r="I52" s="418"/>
      <c r="J52" s="418"/>
      <c r="K52" s="418"/>
      <c r="L52" s="418"/>
      <c r="M52" s="418"/>
    </row>
    <row r="53" spans="1:13" x14ac:dyDescent="0.25">
      <c r="A53" s="474"/>
      <c r="B53" s="474"/>
      <c r="C53" s="474"/>
      <c r="D53" s="474"/>
      <c r="E53" s="474"/>
      <c r="F53" s="477"/>
      <c r="G53" s="478"/>
      <c r="H53" s="418"/>
      <c r="I53" s="418"/>
      <c r="J53" s="418"/>
      <c r="K53" s="418"/>
      <c r="L53" s="418"/>
      <c r="M53" s="418"/>
    </row>
    <row r="54" spans="1:13" x14ac:dyDescent="0.25">
      <c r="A54" s="474"/>
      <c r="B54" s="474"/>
      <c r="C54" s="474"/>
      <c r="D54" s="474"/>
      <c r="E54" s="474"/>
      <c r="F54" s="477"/>
      <c r="G54" s="478"/>
      <c r="H54" s="418"/>
      <c r="I54" s="418"/>
      <c r="J54" s="418"/>
      <c r="K54" s="418"/>
      <c r="L54" s="418"/>
      <c r="M54" s="418"/>
    </row>
    <row r="55" spans="1:13" x14ac:dyDescent="0.25">
      <c r="A55" s="474"/>
      <c r="B55" s="474"/>
      <c r="C55" s="474"/>
      <c r="D55" s="474"/>
      <c r="E55" s="474"/>
      <c r="F55" s="477"/>
      <c r="G55" s="478"/>
      <c r="H55" s="418"/>
      <c r="I55" s="418"/>
      <c r="J55" s="418"/>
      <c r="K55" s="418"/>
      <c r="L55" s="418"/>
      <c r="M55" s="418"/>
    </row>
    <row r="56" spans="1:13" ht="15.75" thickBot="1" x14ac:dyDescent="0.3">
      <c r="A56" s="479"/>
      <c r="B56" s="479"/>
      <c r="C56" s="479"/>
      <c r="D56" s="479"/>
      <c r="E56" s="479"/>
      <c r="F56" s="480"/>
      <c r="G56" s="481"/>
      <c r="H56" s="418"/>
      <c r="I56" s="418"/>
      <c r="J56" s="418"/>
      <c r="K56" s="418"/>
      <c r="L56" s="418"/>
      <c r="M56" s="418"/>
    </row>
    <row r="57" spans="1:13" ht="15.75" thickBot="1" x14ac:dyDescent="0.3">
      <c r="A57" s="760"/>
      <c r="B57" s="760"/>
      <c r="C57" s="241" t="s">
        <v>446</v>
      </c>
      <c r="D57" s="482"/>
      <c r="E57" s="482"/>
      <c r="F57" s="482"/>
      <c r="G57" s="192"/>
      <c r="H57" s="762"/>
      <c r="I57" s="763"/>
      <c r="J57" s="763"/>
      <c r="K57" s="763"/>
      <c r="L57" s="763"/>
      <c r="M57" s="418"/>
    </row>
    <row r="58" spans="1:13" x14ac:dyDescent="0.25">
      <c r="E58" s="1"/>
    </row>
    <row r="59" spans="1:13" x14ac:dyDescent="0.25">
      <c r="A59" s="419"/>
      <c r="B59" s="420"/>
      <c r="C59" s="421"/>
      <c r="E59" s="317"/>
      <c r="F59" s="317"/>
    </row>
    <row r="60" spans="1:13" x14ac:dyDescent="0.25">
      <c r="A60" s="422"/>
      <c r="B60" s="420"/>
    </row>
    <row r="61" spans="1:13" x14ac:dyDescent="0.25">
      <c r="E61" s="770"/>
      <c r="F61" s="770"/>
      <c r="G61" s="770"/>
      <c r="H61" s="770"/>
      <c r="I61" s="770"/>
    </row>
    <row r="62" spans="1:13" x14ac:dyDescent="0.25">
      <c r="A62" s="760"/>
      <c r="B62" s="760"/>
    </row>
    <row r="63" spans="1:13" x14ac:dyDescent="0.25">
      <c r="A63" s="251"/>
      <c r="B63" s="251"/>
    </row>
    <row r="64" spans="1:13" x14ac:dyDescent="0.25">
      <c r="A64" s="251"/>
      <c r="B64" s="251"/>
    </row>
    <row r="65" spans="1:11" x14ac:dyDescent="0.25">
      <c r="E65" s="760"/>
      <c r="F65" s="760"/>
      <c r="G65" s="760"/>
      <c r="H65" s="760"/>
      <c r="I65" s="760"/>
    </row>
    <row r="66" spans="1:11" x14ac:dyDescent="0.25">
      <c r="E66" s="760"/>
      <c r="F66" s="760"/>
      <c r="G66" s="760"/>
      <c r="H66" s="760"/>
      <c r="I66" s="760"/>
      <c r="J66" s="760"/>
      <c r="K66" s="760"/>
    </row>
    <row r="67" spans="1:11" x14ac:dyDescent="0.25">
      <c r="A67" s="760" t="s">
        <v>545</v>
      </c>
      <c r="B67" s="760"/>
    </row>
    <row r="69" spans="1:11" ht="57.6" customHeight="1" x14ac:dyDescent="0.25">
      <c r="A69" s="269" t="s">
        <v>597</v>
      </c>
      <c r="B69" s="570" t="e">
        <f>I28</f>
        <v>#DIV/0!</v>
      </c>
      <c r="C69" s="771"/>
      <c r="D69" s="772"/>
    </row>
    <row r="70" spans="1:11" ht="78" x14ac:dyDescent="0.25">
      <c r="A70" s="269" t="s">
        <v>409</v>
      </c>
      <c r="B70" s="268"/>
    </row>
    <row r="71" spans="1:11" x14ac:dyDescent="0.25">
      <c r="A71" s="270" t="s">
        <v>408</v>
      </c>
      <c r="B71" s="569" t="e">
        <f>B70/B69*100</f>
        <v>#DIV/0!</v>
      </c>
    </row>
    <row r="72" spans="1:11" ht="15.75" thickBot="1" x14ac:dyDescent="0.3"/>
    <row r="73" spans="1:11" ht="15.75" thickBot="1" x14ac:dyDescent="0.3">
      <c r="A73" s="760" t="s">
        <v>555</v>
      </c>
      <c r="B73" s="760"/>
      <c r="C73" s="40"/>
    </row>
    <row r="74" spans="1:11" ht="15.75" thickBot="1" x14ac:dyDescent="0.3"/>
    <row r="75" spans="1:11" ht="15.75" thickBot="1" x14ac:dyDescent="0.3">
      <c r="A75" s="760" t="s">
        <v>556</v>
      </c>
      <c r="B75" s="760"/>
      <c r="C75" s="40"/>
    </row>
    <row r="78" spans="1:11" x14ac:dyDescent="0.25">
      <c r="A78" s="760" t="s">
        <v>546</v>
      </c>
      <c r="B78" s="760"/>
      <c r="C78" s="760"/>
      <c r="D78" s="760"/>
      <c r="E78" s="760"/>
      <c r="F78" s="418"/>
      <c r="G78" s="418"/>
    </row>
    <row r="79" spans="1:11" x14ac:dyDescent="0.25">
      <c r="A79" s="251"/>
      <c r="B79" s="251"/>
      <c r="C79" s="251"/>
      <c r="D79" s="251"/>
      <c r="E79" s="251"/>
      <c r="F79" s="418"/>
      <c r="G79" s="418"/>
    </row>
    <row r="80" spans="1:11" x14ac:dyDescent="0.25">
      <c r="A80" s="1" t="s">
        <v>547</v>
      </c>
    </row>
    <row r="81" spans="1:7" ht="15.75" thickBot="1" x14ac:dyDescent="0.3">
      <c r="A81" s="1"/>
    </row>
    <row r="82" spans="1:7" ht="15.75" thickBot="1" x14ac:dyDescent="0.3">
      <c r="A82" s="317" t="s">
        <v>548</v>
      </c>
      <c r="B82" s="317"/>
      <c r="C82" s="40"/>
    </row>
    <row r="83" spans="1:7" ht="15.75" thickBot="1" x14ac:dyDescent="0.3">
      <c r="A83" s="317"/>
      <c r="B83" s="317"/>
    </row>
    <row r="84" spans="1:7" ht="15.75" thickBot="1" x14ac:dyDescent="0.3">
      <c r="A84" s="768" t="s">
        <v>549</v>
      </c>
      <c r="B84" s="768"/>
      <c r="C84" s="768"/>
      <c r="D84" s="768"/>
      <c r="E84" s="769"/>
      <c r="F84" s="40"/>
    </row>
    <row r="85" spans="1:7" ht="15.75" thickBot="1" x14ac:dyDescent="0.3"/>
    <row r="86" spans="1:7" ht="15.75" thickBot="1" x14ac:dyDescent="0.3">
      <c r="A86" s="770" t="s">
        <v>550</v>
      </c>
      <c r="B86" s="770"/>
      <c r="C86" s="770"/>
      <c r="D86" s="770"/>
      <c r="E86" s="770"/>
      <c r="F86" s="40"/>
    </row>
    <row r="87" spans="1:7" ht="15.75" thickBot="1" x14ac:dyDescent="0.3"/>
    <row r="88" spans="1:7" ht="15.75" thickBot="1" x14ac:dyDescent="0.3">
      <c r="A88" s="760" t="s">
        <v>551</v>
      </c>
      <c r="B88" s="760"/>
      <c r="C88" s="760"/>
      <c r="D88" s="760"/>
      <c r="E88" s="767"/>
      <c r="F88" s="40"/>
    </row>
    <row r="90" spans="1:7" x14ac:dyDescent="0.25">
      <c r="A90" s="760" t="s">
        <v>552</v>
      </c>
      <c r="B90" s="760"/>
      <c r="C90" s="760"/>
      <c r="D90" s="760"/>
      <c r="E90" s="760"/>
      <c r="F90" s="760"/>
      <c r="G90" s="760"/>
    </row>
    <row r="91" spans="1:7" ht="15.75" thickBot="1" x14ac:dyDescent="0.3"/>
    <row r="92" spans="1:7" ht="15.75" thickBot="1" x14ac:dyDescent="0.3">
      <c r="A92" s="251" t="s">
        <v>553</v>
      </c>
      <c r="B92" s="251"/>
      <c r="C92" s="251"/>
      <c r="D92" s="251"/>
      <c r="E92" s="40"/>
    </row>
    <row r="93" spans="1:7" ht="15.75" thickBot="1" x14ac:dyDescent="0.3"/>
    <row r="94" spans="1:7" ht="15.75" thickBot="1" x14ac:dyDescent="0.3">
      <c r="A94" s="763" t="s">
        <v>554</v>
      </c>
      <c r="B94" s="763"/>
      <c r="C94" s="763"/>
      <c r="D94" s="763"/>
      <c r="E94" s="241"/>
      <c r="F94" s="241"/>
      <c r="G94" s="40"/>
    </row>
  </sheetData>
  <mergeCells count="24">
    <mergeCell ref="A94:D94"/>
    <mergeCell ref="A15:B15"/>
    <mergeCell ref="A88:E88"/>
    <mergeCell ref="A75:B75"/>
    <mergeCell ref="A90:G90"/>
    <mergeCell ref="A67:B67"/>
    <mergeCell ref="A78:E78"/>
    <mergeCell ref="A84:E84"/>
    <mergeCell ref="A86:E86"/>
    <mergeCell ref="A73:B73"/>
    <mergeCell ref="A57:B57"/>
    <mergeCell ref="E61:I61"/>
    <mergeCell ref="A62:B62"/>
    <mergeCell ref="C69:D69"/>
    <mergeCell ref="A3:B3"/>
    <mergeCell ref="E66:K66"/>
    <mergeCell ref="E65:I65"/>
    <mergeCell ref="K3:L3"/>
    <mergeCell ref="A8:C8"/>
    <mergeCell ref="D8:E8"/>
    <mergeCell ref="E28:F28"/>
    <mergeCell ref="A34:B34"/>
    <mergeCell ref="H57:L57"/>
    <mergeCell ref="L18:L28"/>
  </mergeCells>
  <dataValidations disablePrompts="1" count="1">
    <dataValidation type="list" showDropDown="1" showInputMessage="1" showErrorMessage="1" sqref="A37:E56" xr:uid="{00000000-0002-0000-0900-000000000000}">
      <formula1>#REF!</formula1>
    </dataValidation>
  </dataValidations>
  <hyperlinks>
    <hyperlink ref="K3:L3" location="Índice!A1" display="Voltar ao índice" xr:uid="{00000000-0004-0000-0900-000000000000}"/>
  </hyperlinks>
  <pageMargins left="0.70866141732283472" right="0.70866141732283472" top="1.6929133858267718" bottom="0.74803149606299213" header="0.31496062992125984" footer="0.31496062992125984"/>
  <pageSetup paperSize="9" scale="72" fitToHeight="0" orientation="landscape" cellComments="asDisplayed" r:id="rId1"/>
  <headerFooter>
    <oddHeader>&amp;L&amp;G&amp;C&amp;"-,Negrito"
&amp;24Caderno de Campo</oddHeader>
    <oddFooter>&amp;C&amp;G</oddFooter>
  </headerFooter>
  <legacyDrawing r:id="rId2"/>
  <legacyDrawingHF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pageSetUpPr fitToPage="1"/>
  </sheetPr>
  <dimension ref="A1:P42"/>
  <sheetViews>
    <sheetView showGridLines="0" showRuler="0" view="pageLayout" zoomScale="80" zoomScaleNormal="100" zoomScalePageLayoutView="80" workbookViewId="0">
      <selection activeCell="A42" sqref="A42:G42"/>
    </sheetView>
  </sheetViews>
  <sheetFormatPr defaultRowHeight="15" x14ac:dyDescent="0.25"/>
  <cols>
    <col min="1" max="1" width="13.5703125" customWidth="1"/>
    <col min="2" max="2" width="15.5703125" customWidth="1"/>
    <col min="3" max="3" width="10.42578125" customWidth="1"/>
    <col min="4" max="4" width="11.42578125" customWidth="1"/>
    <col min="5" max="5" width="17.42578125" customWidth="1"/>
    <col min="6" max="6" width="11.5703125" customWidth="1"/>
    <col min="7" max="8" width="12.42578125" customWidth="1"/>
    <col min="9" max="9" width="11.5703125" customWidth="1"/>
    <col min="10" max="10" width="13.5703125" customWidth="1"/>
    <col min="11" max="11" width="12.140625" customWidth="1"/>
  </cols>
  <sheetData>
    <row r="1" spans="1:16" ht="17.25" x14ac:dyDescent="0.3">
      <c r="A1" s="650" t="s">
        <v>169</v>
      </c>
      <c r="B1" s="650"/>
      <c r="N1" s="604" t="s">
        <v>375</v>
      </c>
      <c r="O1" s="604"/>
      <c r="P1" s="604"/>
    </row>
    <row r="2" spans="1:16" ht="15.75" thickBot="1" x14ac:dyDescent="0.3"/>
    <row r="3" spans="1:16" ht="30.75" thickBot="1" x14ac:dyDescent="0.3">
      <c r="A3" s="356" t="s">
        <v>60</v>
      </c>
      <c r="B3" s="111"/>
      <c r="C3" s="20" t="s">
        <v>139</v>
      </c>
      <c r="D3" s="21" t="s">
        <v>140</v>
      </c>
      <c r="E3" s="129"/>
      <c r="F3" s="22" t="s">
        <v>141</v>
      </c>
      <c r="G3" s="106"/>
      <c r="H3" s="357" t="s">
        <v>32</v>
      </c>
      <c r="I3" s="131"/>
      <c r="K3" s="239" t="s">
        <v>359</v>
      </c>
      <c r="L3" s="238"/>
    </row>
    <row r="4" spans="1:16" ht="15.75" thickBot="1" x14ac:dyDescent="0.3">
      <c r="A4" s="113"/>
    </row>
    <row r="5" spans="1:16" ht="28.5" customHeight="1" thickBot="1" x14ac:dyDescent="0.3">
      <c r="A5" s="22" t="s">
        <v>170</v>
      </c>
      <c r="B5" s="731"/>
      <c r="C5" s="732"/>
      <c r="E5" s="128" t="s">
        <v>198</v>
      </c>
      <c r="F5" s="40"/>
      <c r="G5" s="66"/>
      <c r="H5" s="128" t="s">
        <v>171</v>
      </c>
      <c r="I5" s="10"/>
      <c r="K5" s="770" t="s">
        <v>172</v>
      </c>
      <c r="L5" s="770"/>
      <c r="M5" s="117"/>
    </row>
    <row r="6" spans="1:16" ht="8.25" customHeight="1" x14ac:dyDescent="0.25">
      <c r="A6" s="114"/>
      <c r="B6" s="114"/>
      <c r="C6" s="114"/>
      <c r="D6" s="8"/>
      <c r="E6" s="8"/>
      <c r="F6" s="8"/>
      <c r="G6" s="66"/>
      <c r="J6" s="66"/>
    </row>
    <row r="7" spans="1:16" ht="19.5" customHeight="1" x14ac:dyDescent="0.25">
      <c r="A7" s="114"/>
      <c r="B7" s="20" t="s">
        <v>66</v>
      </c>
      <c r="C7" s="135" t="s">
        <v>64</v>
      </c>
      <c r="D7" s="20" t="s">
        <v>67</v>
      </c>
      <c r="E7" s="21" t="s">
        <v>64</v>
      </c>
      <c r="F7" s="8"/>
      <c r="G7" s="66"/>
      <c r="J7" s="66"/>
    </row>
    <row r="8" spans="1:16" ht="20.100000000000001" customHeight="1" x14ac:dyDescent="0.25">
      <c r="A8" s="136" t="s">
        <v>65</v>
      </c>
      <c r="B8" s="117"/>
      <c r="C8" s="135" t="s">
        <v>136</v>
      </c>
      <c r="D8" s="117"/>
      <c r="E8" s="21" t="s">
        <v>136</v>
      </c>
      <c r="F8" s="8"/>
      <c r="G8" s="66"/>
      <c r="J8" s="66"/>
    </row>
    <row r="9" spans="1:16" ht="15.75" thickBot="1" x14ac:dyDescent="0.3">
      <c r="A9" s="108"/>
      <c r="B9" s="66"/>
      <c r="C9" s="114"/>
      <c r="D9" s="66"/>
      <c r="E9" s="66"/>
      <c r="F9" s="8"/>
      <c r="G9" s="66"/>
      <c r="J9" s="66"/>
    </row>
    <row r="10" spans="1:16" x14ac:dyDescent="0.25">
      <c r="A10" s="800" t="s">
        <v>396</v>
      </c>
      <c r="B10" s="801"/>
      <c r="C10" s="801"/>
      <c r="D10" s="810"/>
      <c r="E10" s="811"/>
      <c r="G10" s="814" t="s">
        <v>174</v>
      </c>
      <c r="H10" s="815"/>
      <c r="J10" s="802" t="s">
        <v>176</v>
      </c>
      <c r="L10" s="804" t="s">
        <v>177</v>
      </c>
      <c r="M10" s="805"/>
    </row>
    <row r="11" spans="1:16" ht="15.75" thickBot="1" x14ac:dyDescent="0.3">
      <c r="A11" s="808" t="s">
        <v>173</v>
      </c>
      <c r="B11" s="809"/>
      <c r="C11" s="809"/>
      <c r="D11" s="812"/>
      <c r="E11" s="813"/>
      <c r="G11" s="816"/>
      <c r="H11" s="817"/>
      <c r="J11" s="803"/>
      <c r="L11" s="806" t="s">
        <v>178</v>
      </c>
      <c r="M11" s="807"/>
    </row>
    <row r="12" spans="1:16" ht="15.75" thickBot="1" x14ac:dyDescent="0.3">
      <c r="A12" s="251"/>
      <c r="B12" s="251"/>
      <c r="C12" s="251"/>
      <c r="D12" s="105"/>
      <c r="E12" s="105"/>
      <c r="G12" s="316"/>
      <c r="H12" s="316"/>
      <c r="J12" s="316"/>
      <c r="L12" s="105"/>
      <c r="M12" s="105"/>
    </row>
    <row r="13" spans="1:16" x14ac:dyDescent="0.25">
      <c r="A13" s="788" t="s">
        <v>68</v>
      </c>
      <c r="B13" s="789"/>
      <c r="C13" s="789"/>
      <c r="D13" s="790"/>
      <c r="E13" s="449" t="s">
        <v>607</v>
      </c>
      <c r="F13" s="449" t="s">
        <v>607</v>
      </c>
      <c r="G13" s="449" t="s">
        <v>607</v>
      </c>
      <c r="H13" s="449" t="s">
        <v>607</v>
      </c>
      <c r="I13" s="449" t="s">
        <v>607</v>
      </c>
      <c r="J13" s="573" t="s">
        <v>607</v>
      </c>
      <c r="K13" s="573" t="s">
        <v>607</v>
      </c>
    </row>
    <row r="14" spans="1:16" ht="15.75" thickBot="1" x14ac:dyDescent="0.3">
      <c r="A14" s="791" t="s">
        <v>180</v>
      </c>
      <c r="B14" s="792"/>
      <c r="C14" s="792"/>
      <c r="D14" s="793"/>
      <c r="E14" s="127"/>
      <c r="F14" s="127"/>
      <c r="G14" s="127"/>
      <c r="H14" s="127"/>
      <c r="I14" s="127"/>
      <c r="J14" s="127"/>
      <c r="K14" s="127"/>
    </row>
    <row r="15" spans="1:16" x14ac:dyDescent="0.25">
      <c r="A15" s="794" t="s">
        <v>179</v>
      </c>
      <c r="B15" s="795"/>
      <c r="C15" s="795"/>
      <c r="D15" s="796"/>
      <c r="E15" s="150"/>
      <c r="F15" s="151"/>
      <c r="G15" s="150"/>
      <c r="H15" s="151"/>
      <c r="I15" s="150"/>
      <c r="J15" s="151"/>
      <c r="K15" s="152"/>
    </row>
    <row r="16" spans="1:16" x14ac:dyDescent="0.25">
      <c r="A16" s="797" t="s">
        <v>181</v>
      </c>
      <c r="B16" s="798"/>
      <c r="C16" s="798"/>
      <c r="D16" s="799"/>
      <c r="E16" s="153"/>
      <c r="F16" s="154"/>
      <c r="G16" s="153"/>
      <c r="H16" s="154"/>
      <c r="I16" s="153"/>
      <c r="J16" s="154"/>
      <c r="K16" s="155"/>
    </row>
    <row r="17" spans="1:11" x14ac:dyDescent="0.25">
      <c r="A17" s="773" t="s">
        <v>182</v>
      </c>
      <c r="B17" s="774"/>
      <c r="C17" s="774"/>
      <c r="D17" s="775"/>
      <c r="E17" s="153"/>
      <c r="F17" s="154"/>
      <c r="G17" s="153"/>
      <c r="H17" s="154"/>
      <c r="I17" s="153"/>
      <c r="J17" s="154"/>
      <c r="K17" s="155"/>
    </row>
    <row r="18" spans="1:11" x14ac:dyDescent="0.25">
      <c r="A18" s="782" t="s">
        <v>183</v>
      </c>
      <c r="B18" s="783"/>
      <c r="C18" s="783"/>
      <c r="D18" s="784"/>
      <c r="E18" s="153"/>
      <c r="F18" s="154"/>
      <c r="G18" s="153"/>
      <c r="H18" s="154"/>
      <c r="I18" s="153"/>
      <c r="J18" s="154"/>
      <c r="K18" s="155"/>
    </row>
    <row r="19" spans="1:11" x14ac:dyDescent="0.25">
      <c r="A19" s="785" t="s">
        <v>184</v>
      </c>
      <c r="B19" s="786"/>
      <c r="C19" s="786"/>
      <c r="D19" s="787"/>
      <c r="E19" s="153"/>
      <c r="F19" s="154"/>
      <c r="G19" s="153"/>
      <c r="H19" s="154"/>
      <c r="I19" s="153"/>
      <c r="J19" s="154"/>
      <c r="K19" s="155"/>
    </row>
    <row r="20" spans="1:11" x14ac:dyDescent="0.25">
      <c r="A20" s="785" t="s">
        <v>185</v>
      </c>
      <c r="B20" s="786"/>
      <c r="C20" s="786"/>
      <c r="D20" s="787"/>
      <c r="E20" s="153"/>
      <c r="F20" s="154"/>
      <c r="G20" s="153"/>
      <c r="H20" s="154"/>
      <c r="I20" s="153"/>
      <c r="J20" s="154"/>
      <c r="K20" s="155"/>
    </row>
    <row r="21" spans="1:11" x14ac:dyDescent="0.25">
      <c r="A21" s="785" t="s">
        <v>186</v>
      </c>
      <c r="B21" s="786"/>
      <c r="C21" s="786"/>
      <c r="D21" s="787"/>
      <c r="E21" s="153"/>
      <c r="F21" s="154"/>
      <c r="G21" s="153"/>
      <c r="H21" s="154"/>
      <c r="I21" s="153"/>
      <c r="J21" s="154"/>
      <c r="K21" s="155"/>
    </row>
    <row r="22" spans="1:11" x14ac:dyDescent="0.25">
      <c r="A22" s="773" t="s">
        <v>187</v>
      </c>
      <c r="B22" s="774"/>
      <c r="C22" s="774"/>
      <c r="D22" s="775"/>
      <c r="E22" s="153"/>
      <c r="F22" s="154"/>
      <c r="G22" s="153"/>
      <c r="H22" s="154"/>
      <c r="I22" s="153"/>
      <c r="J22" s="154"/>
      <c r="K22" s="155"/>
    </row>
    <row r="23" spans="1:11" x14ac:dyDescent="0.25">
      <c r="A23" s="773" t="s">
        <v>188</v>
      </c>
      <c r="B23" s="774"/>
      <c r="C23" s="774"/>
      <c r="D23" s="775"/>
      <c r="E23" s="153"/>
      <c r="F23" s="154"/>
      <c r="G23" s="153"/>
      <c r="H23" s="154"/>
      <c r="I23" s="153"/>
      <c r="J23" s="154"/>
      <c r="K23" s="155"/>
    </row>
    <row r="24" spans="1:11" x14ac:dyDescent="0.25">
      <c r="A24" s="773" t="s">
        <v>189</v>
      </c>
      <c r="B24" s="774"/>
      <c r="C24" s="774"/>
      <c r="D24" s="775"/>
      <c r="E24" s="153"/>
      <c r="F24" s="154"/>
      <c r="G24" s="153"/>
      <c r="H24" s="154"/>
      <c r="I24" s="153"/>
      <c r="J24" s="154"/>
      <c r="K24" s="155"/>
    </row>
    <row r="25" spans="1:11" x14ac:dyDescent="0.25">
      <c r="A25" s="779" t="s">
        <v>195</v>
      </c>
      <c r="B25" s="780"/>
      <c r="C25" s="780"/>
      <c r="D25" s="781"/>
      <c r="E25" s="153"/>
      <c r="F25" s="154"/>
      <c r="G25" s="153"/>
      <c r="H25" s="154"/>
      <c r="I25" s="153"/>
      <c r="J25" s="154"/>
      <c r="K25" s="155"/>
    </row>
    <row r="26" spans="1:11" x14ac:dyDescent="0.25">
      <c r="A26" s="779" t="s">
        <v>196</v>
      </c>
      <c r="B26" s="780"/>
      <c r="C26" s="780"/>
      <c r="D26" s="781"/>
      <c r="E26" s="153"/>
      <c r="F26" s="154"/>
      <c r="G26" s="153"/>
      <c r="H26" s="154"/>
      <c r="I26" s="153"/>
      <c r="J26" s="154"/>
      <c r="K26" s="155"/>
    </row>
    <row r="27" spans="1:11" x14ac:dyDescent="0.25">
      <c r="A27" s="773" t="s">
        <v>190</v>
      </c>
      <c r="B27" s="774"/>
      <c r="C27" s="774"/>
      <c r="D27" s="775"/>
      <c r="E27" s="153"/>
      <c r="F27" s="154"/>
      <c r="G27" s="153"/>
      <c r="H27" s="154"/>
      <c r="I27" s="153"/>
      <c r="J27" s="154"/>
      <c r="K27" s="155"/>
    </row>
    <row r="28" spans="1:11" x14ac:dyDescent="0.25">
      <c r="A28" s="773" t="s">
        <v>191</v>
      </c>
      <c r="B28" s="774"/>
      <c r="C28" s="774"/>
      <c r="D28" s="775"/>
      <c r="E28" s="153"/>
      <c r="F28" s="154"/>
      <c r="G28" s="153"/>
      <c r="H28" s="154"/>
      <c r="I28" s="153"/>
      <c r="J28" s="154"/>
      <c r="K28" s="155"/>
    </row>
    <row r="29" spans="1:11" x14ac:dyDescent="0.25">
      <c r="A29" s="773" t="s">
        <v>192</v>
      </c>
      <c r="B29" s="774"/>
      <c r="C29" s="774"/>
      <c r="D29" s="775"/>
      <c r="E29" s="153"/>
      <c r="F29" s="154"/>
      <c r="G29" s="153"/>
      <c r="H29" s="154"/>
      <c r="I29" s="153"/>
      <c r="J29" s="154"/>
      <c r="K29" s="155"/>
    </row>
    <row r="30" spans="1:11" x14ac:dyDescent="0.25">
      <c r="A30" s="773" t="s">
        <v>197</v>
      </c>
      <c r="B30" s="774"/>
      <c r="C30" s="774"/>
      <c r="D30" s="775"/>
      <c r="E30" s="153"/>
      <c r="F30" s="154"/>
      <c r="G30" s="153"/>
      <c r="H30" s="154"/>
      <c r="I30" s="153"/>
      <c r="J30" s="154"/>
      <c r="K30" s="155"/>
    </row>
    <row r="31" spans="1:11" x14ac:dyDescent="0.25">
      <c r="A31" s="773" t="s">
        <v>193</v>
      </c>
      <c r="B31" s="774"/>
      <c r="C31" s="774"/>
      <c r="D31" s="775"/>
      <c r="E31" s="153"/>
      <c r="F31" s="154"/>
      <c r="G31" s="153"/>
      <c r="H31" s="154"/>
      <c r="I31" s="153"/>
      <c r="J31" s="154"/>
      <c r="K31" s="155"/>
    </row>
    <row r="32" spans="1:11" ht="15.75" thickBot="1" x14ac:dyDescent="0.3">
      <c r="A32" s="776" t="s">
        <v>194</v>
      </c>
      <c r="B32" s="777"/>
      <c r="C32" s="777"/>
      <c r="D32" s="778"/>
      <c r="E32" s="145"/>
      <c r="F32" s="127"/>
      <c r="G32" s="145"/>
      <c r="H32" s="127"/>
      <c r="I32" s="145"/>
      <c r="J32" s="127"/>
      <c r="K32" s="156"/>
    </row>
    <row r="33" spans="1:8" x14ac:dyDescent="0.25">
      <c r="A33" s="317"/>
      <c r="B33" s="317"/>
      <c r="C33" s="317"/>
      <c r="D33" s="317"/>
    </row>
    <row r="34" spans="1:8" x14ac:dyDescent="0.25">
      <c r="A34" s="237" t="s">
        <v>358</v>
      </c>
    </row>
    <row r="35" spans="1:8" ht="9" customHeight="1" x14ac:dyDescent="0.25">
      <c r="A35" s="237"/>
    </row>
    <row r="36" spans="1:8" x14ac:dyDescent="0.25">
      <c r="A36" s="766" t="s">
        <v>357</v>
      </c>
      <c r="B36" s="766"/>
      <c r="C36" s="766"/>
      <c r="D36" s="766"/>
      <c r="E36" s="106"/>
    </row>
    <row r="37" spans="1:8" ht="9" customHeight="1" x14ac:dyDescent="0.25">
      <c r="A37" s="234"/>
    </row>
    <row r="38" spans="1:8" x14ac:dyDescent="0.25">
      <c r="A38" s="766" t="s">
        <v>356</v>
      </c>
      <c r="B38" s="766"/>
      <c r="C38" s="766"/>
      <c r="D38" s="766"/>
      <c r="E38" s="766"/>
      <c r="F38" s="766"/>
      <c r="G38" s="106"/>
    </row>
    <row r="39" spans="1:8" ht="7.5" customHeight="1" x14ac:dyDescent="0.25">
      <c r="A39" s="234"/>
    </row>
    <row r="40" spans="1:8" ht="14.25" customHeight="1" x14ac:dyDescent="0.25">
      <c r="A40" s="766" t="s">
        <v>355</v>
      </c>
      <c r="B40" s="766"/>
      <c r="C40" s="766"/>
      <c r="D40" s="766"/>
      <c r="E40" s="766"/>
      <c r="F40" s="236"/>
      <c r="G40" s="234"/>
    </row>
    <row r="41" spans="1:8" ht="8.25" customHeight="1" x14ac:dyDescent="0.25">
      <c r="A41" s="235"/>
      <c r="B41" s="235"/>
      <c r="C41" s="235"/>
      <c r="D41" s="235"/>
      <c r="E41" s="235"/>
      <c r="F41" s="235"/>
      <c r="G41" s="235"/>
    </row>
    <row r="42" spans="1:8" x14ac:dyDescent="0.25">
      <c r="A42" s="766" t="s">
        <v>354</v>
      </c>
      <c r="B42" s="766"/>
      <c r="C42" s="766"/>
      <c r="D42" s="766"/>
      <c r="E42" s="766"/>
      <c r="F42" s="766"/>
      <c r="G42" s="766"/>
      <c r="H42" s="106"/>
    </row>
  </sheetData>
  <mergeCells count="36">
    <mergeCell ref="N1:P1"/>
    <mergeCell ref="A1:B1"/>
    <mergeCell ref="B5:C5"/>
    <mergeCell ref="K5:L5"/>
    <mergeCell ref="A10:C10"/>
    <mergeCell ref="J10:J11"/>
    <mergeCell ref="L10:M10"/>
    <mergeCell ref="L11:M11"/>
    <mergeCell ref="A11:C11"/>
    <mergeCell ref="D10:E10"/>
    <mergeCell ref="D11:E11"/>
    <mergeCell ref="G10:H11"/>
    <mergeCell ref="A13:D13"/>
    <mergeCell ref="A14:D14"/>
    <mergeCell ref="A15:D15"/>
    <mergeCell ref="A16:D16"/>
    <mergeCell ref="A17:D17"/>
    <mergeCell ref="A18:D18"/>
    <mergeCell ref="A19:D19"/>
    <mergeCell ref="A20:D20"/>
    <mergeCell ref="A21:D21"/>
    <mergeCell ref="A22:D22"/>
    <mergeCell ref="A23:D23"/>
    <mergeCell ref="A28:D28"/>
    <mergeCell ref="A29:D29"/>
    <mergeCell ref="A42:G42"/>
    <mergeCell ref="A40:E40"/>
    <mergeCell ref="A38:F38"/>
    <mergeCell ref="A36:D36"/>
    <mergeCell ref="A31:D31"/>
    <mergeCell ref="A32:D32"/>
    <mergeCell ref="A30:D30"/>
    <mergeCell ref="A25:D25"/>
    <mergeCell ref="A26:D26"/>
    <mergeCell ref="A27:D27"/>
    <mergeCell ref="A24:D24"/>
  </mergeCells>
  <hyperlinks>
    <hyperlink ref="N1:P1" r:id="rId1" location="Índice!A1" display="Voltar ao índice" xr:uid="{00000000-0004-0000-0A00-000000000000}"/>
  </hyperlinks>
  <pageMargins left="0.70866141732283472" right="0.70866141732283472" top="1.3779527559055118" bottom="0.74803149606299213" header="0.31496062992125984" footer="0.31496062992125984"/>
  <pageSetup paperSize="9" scale="69" orientation="landscape" r:id="rId2"/>
  <headerFooter>
    <oddHeader>&amp;L&amp;G&amp;C&amp;"-,Negrito"
&amp;24Caderno de Campo</oddHeader>
    <oddFooter>&amp;C&amp;G</oddFooter>
  </headerFooter>
  <legacyDrawing r:id="rId3"/>
  <legacyDrawingHF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249977111117893"/>
    <pageSetUpPr fitToPage="1"/>
  </sheetPr>
  <dimension ref="A2:G29"/>
  <sheetViews>
    <sheetView showGridLines="0" showRuler="0" view="pageLayout" topLeftCell="A2" zoomScale="75" zoomScaleNormal="100" zoomScalePageLayoutView="75" workbookViewId="0">
      <selection activeCell="G2" sqref="G2"/>
    </sheetView>
  </sheetViews>
  <sheetFormatPr defaultRowHeight="15" x14ac:dyDescent="0.25"/>
  <cols>
    <col min="1" max="1" width="16.140625" customWidth="1"/>
    <col min="2" max="2" width="28.5703125" customWidth="1"/>
    <col min="3" max="3" width="22.42578125" customWidth="1"/>
    <col min="4" max="4" width="26.42578125" customWidth="1"/>
    <col min="5" max="6" width="27.85546875" customWidth="1"/>
    <col min="7" max="7" width="36" customWidth="1"/>
  </cols>
  <sheetData>
    <row r="2" spans="1:7" ht="17.25" x14ac:dyDescent="0.3">
      <c r="A2" s="650" t="s">
        <v>97</v>
      </c>
      <c r="B2" s="650"/>
      <c r="G2" s="315" t="s">
        <v>375</v>
      </c>
    </row>
    <row r="3" spans="1:7" ht="18" thickBot="1" x14ac:dyDescent="0.35">
      <c r="A3" s="33"/>
      <c r="B3" s="48"/>
      <c r="G3" s="315"/>
    </row>
    <row r="4" spans="1:7" ht="18" thickBot="1" x14ac:dyDescent="0.35">
      <c r="A4" s="33" t="s">
        <v>478</v>
      </c>
      <c r="B4" s="351"/>
      <c r="D4" s="1" t="s">
        <v>479</v>
      </c>
      <c r="E4" s="40"/>
      <c r="G4" s="315"/>
    </row>
    <row r="6" spans="1:7" ht="15.75" thickBot="1" x14ac:dyDescent="0.3"/>
    <row r="7" spans="1:7" x14ac:dyDescent="0.25">
      <c r="A7" s="818" t="s">
        <v>68</v>
      </c>
      <c r="B7" s="818" t="s">
        <v>98</v>
      </c>
      <c r="C7" s="818" t="s">
        <v>99</v>
      </c>
      <c r="D7" s="818" t="s">
        <v>100</v>
      </c>
      <c r="E7" s="818" t="s">
        <v>101</v>
      </c>
      <c r="F7" s="818" t="s">
        <v>102</v>
      </c>
      <c r="G7" s="489" t="s">
        <v>103</v>
      </c>
    </row>
    <row r="8" spans="1:7" ht="15.75" thickBot="1" x14ac:dyDescent="0.3">
      <c r="A8" s="819"/>
      <c r="B8" s="819"/>
      <c r="C8" s="819"/>
      <c r="D8" s="819"/>
      <c r="E8" s="819"/>
      <c r="F8" s="819"/>
      <c r="G8" s="490" t="s">
        <v>104</v>
      </c>
    </row>
    <row r="9" spans="1:7" x14ac:dyDescent="0.25">
      <c r="A9" s="491" t="s">
        <v>105</v>
      </c>
      <c r="B9" s="492" t="s">
        <v>106</v>
      </c>
      <c r="C9" s="492" t="s">
        <v>107</v>
      </c>
      <c r="D9" s="830" t="s">
        <v>108</v>
      </c>
      <c r="E9" s="492" t="s">
        <v>109</v>
      </c>
      <c r="F9" s="492" t="s">
        <v>110</v>
      </c>
      <c r="G9" s="493" t="s">
        <v>111</v>
      </c>
    </row>
    <row r="10" spans="1:7" ht="30" x14ac:dyDescent="0.25">
      <c r="A10" s="494" t="s">
        <v>112</v>
      </c>
      <c r="B10" s="495" t="s">
        <v>113</v>
      </c>
      <c r="C10" s="495" t="s">
        <v>114</v>
      </c>
      <c r="D10" s="820"/>
      <c r="E10" s="820" t="s">
        <v>115</v>
      </c>
      <c r="F10" s="820" t="s">
        <v>116</v>
      </c>
      <c r="G10" s="826" t="s">
        <v>117</v>
      </c>
    </row>
    <row r="11" spans="1:7" ht="15.75" thickBot="1" x14ac:dyDescent="0.3">
      <c r="A11" s="496"/>
      <c r="B11" s="497"/>
      <c r="C11" s="498"/>
      <c r="D11" s="825"/>
      <c r="E11" s="825"/>
      <c r="F11" s="825"/>
      <c r="G11" s="827"/>
    </row>
    <row r="12" spans="1:7" x14ac:dyDescent="0.25">
      <c r="A12" s="831" t="s">
        <v>118</v>
      </c>
      <c r="B12" s="834" t="s">
        <v>86</v>
      </c>
      <c r="C12" s="495" t="s">
        <v>86</v>
      </c>
      <c r="D12" s="495" t="s">
        <v>86</v>
      </c>
      <c r="E12" s="495" t="s">
        <v>119</v>
      </c>
      <c r="F12" s="495" t="s">
        <v>120</v>
      </c>
      <c r="G12" s="499" t="s">
        <v>86</v>
      </c>
    </row>
    <row r="13" spans="1:7" x14ac:dyDescent="0.25">
      <c r="A13" s="832"/>
      <c r="B13" s="820"/>
      <c r="C13" s="820" t="s">
        <v>121</v>
      </c>
      <c r="D13" s="820" t="s">
        <v>122</v>
      </c>
      <c r="E13" s="495" t="s">
        <v>92</v>
      </c>
      <c r="F13" s="820" t="s">
        <v>86</v>
      </c>
      <c r="G13" s="499" t="s">
        <v>123</v>
      </c>
    </row>
    <row r="14" spans="1:7" ht="20.45" customHeight="1" thickBot="1" x14ac:dyDescent="0.3">
      <c r="A14" s="833"/>
      <c r="B14" s="821"/>
      <c r="C14" s="821"/>
      <c r="D14" s="821"/>
      <c r="E14" s="500" t="s">
        <v>86</v>
      </c>
      <c r="F14" s="821"/>
      <c r="G14" s="501"/>
    </row>
    <row r="15" spans="1:7" ht="18.600000000000001" customHeight="1" x14ac:dyDescent="0.25">
      <c r="A15" s="159"/>
      <c r="B15" s="160"/>
      <c r="C15" s="160"/>
      <c r="D15" s="160"/>
      <c r="E15" s="160"/>
      <c r="F15" s="160"/>
      <c r="G15" s="157"/>
    </row>
    <row r="16" spans="1:7" ht="18.600000000000001" customHeight="1" thickBot="1" x14ac:dyDescent="0.3">
      <c r="A16" s="161"/>
      <c r="B16" s="162"/>
      <c r="C16" s="162"/>
      <c r="D16" s="162"/>
      <c r="E16" s="162"/>
      <c r="F16" s="162"/>
      <c r="G16" s="158"/>
    </row>
    <row r="17" spans="1:7" ht="18.600000000000001" customHeight="1" x14ac:dyDescent="0.25">
      <c r="A17" s="159"/>
      <c r="B17" s="160"/>
      <c r="C17" s="160"/>
      <c r="D17" s="160"/>
      <c r="E17" s="160"/>
      <c r="F17" s="160"/>
      <c r="G17" s="157"/>
    </row>
    <row r="18" spans="1:7" ht="18.600000000000001" customHeight="1" thickBot="1" x14ac:dyDescent="0.3">
      <c r="A18" s="161"/>
      <c r="B18" s="162"/>
      <c r="C18" s="162"/>
      <c r="D18" s="162"/>
      <c r="E18" s="162"/>
      <c r="F18" s="162"/>
      <c r="G18" s="158"/>
    </row>
    <row r="19" spans="1:7" ht="18.600000000000001" customHeight="1" x14ac:dyDescent="0.25">
      <c r="A19" s="159"/>
      <c r="B19" s="160"/>
      <c r="C19" s="160"/>
      <c r="D19" s="160"/>
      <c r="E19" s="160"/>
      <c r="F19" s="160"/>
      <c r="G19" s="157"/>
    </row>
    <row r="20" spans="1:7" ht="18.600000000000001" customHeight="1" thickBot="1" x14ac:dyDescent="0.3">
      <c r="A20" s="161"/>
      <c r="B20" s="162"/>
      <c r="C20" s="162"/>
      <c r="D20" s="162"/>
      <c r="E20" s="162"/>
      <c r="F20" s="162"/>
      <c r="G20" s="158"/>
    </row>
    <row r="21" spans="1:7" ht="18.600000000000001" customHeight="1" x14ac:dyDescent="0.25">
      <c r="A21" s="159"/>
      <c r="B21" s="160"/>
      <c r="C21" s="160"/>
      <c r="D21" s="160"/>
      <c r="E21" s="160"/>
      <c r="F21" s="160"/>
      <c r="G21" s="157"/>
    </row>
    <row r="22" spans="1:7" ht="18.600000000000001" customHeight="1" thickBot="1" x14ac:dyDescent="0.3">
      <c r="A22" s="161"/>
      <c r="B22" s="162"/>
      <c r="C22" s="162"/>
      <c r="D22" s="162"/>
      <c r="E22" s="162"/>
      <c r="F22" s="162"/>
      <c r="G22" s="158"/>
    </row>
    <row r="23" spans="1:7" ht="18.600000000000001" customHeight="1" x14ac:dyDescent="0.25">
      <c r="A23" s="159"/>
      <c r="B23" s="160"/>
      <c r="C23" s="160"/>
      <c r="D23" s="160"/>
      <c r="E23" s="160"/>
      <c r="F23" s="160"/>
      <c r="G23" s="157"/>
    </row>
    <row r="24" spans="1:7" ht="18.600000000000001" customHeight="1" thickBot="1" x14ac:dyDescent="0.3">
      <c r="A24" s="161"/>
      <c r="B24" s="162"/>
      <c r="C24" s="162"/>
      <c r="D24" s="162"/>
      <c r="E24" s="162"/>
      <c r="F24" s="162"/>
      <c r="G24" s="158"/>
    </row>
    <row r="25" spans="1:7" ht="18.600000000000001" customHeight="1" x14ac:dyDescent="0.25">
      <c r="A25" s="163"/>
      <c r="B25" s="164"/>
      <c r="C25" s="164"/>
      <c r="D25" s="164"/>
      <c r="E25" s="164"/>
      <c r="F25" s="164"/>
      <c r="G25" s="165"/>
    </row>
    <row r="26" spans="1:7" ht="18.600000000000001" customHeight="1" thickBot="1" x14ac:dyDescent="0.3">
      <c r="A26" s="166"/>
      <c r="B26" s="167"/>
      <c r="C26" s="167"/>
      <c r="D26" s="167"/>
      <c r="E26" s="167"/>
      <c r="F26" s="167"/>
      <c r="G26" s="168"/>
    </row>
    <row r="27" spans="1:7" ht="18.600000000000001" customHeight="1" x14ac:dyDescent="0.25">
      <c r="A27" s="163"/>
      <c r="B27" s="164"/>
      <c r="C27" s="164"/>
      <c r="D27" s="164"/>
      <c r="E27" s="164"/>
      <c r="F27" s="164"/>
      <c r="G27" s="165"/>
    </row>
    <row r="28" spans="1:7" ht="18.600000000000001" customHeight="1" thickBot="1" x14ac:dyDescent="0.3">
      <c r="A28" s="169"/>
      <c r="B28" s="170"/>
      <c r="C28" s="170"/>
      <c r="D28" s="170"/>
      <c r="E28" s="170"/>
      <c r="F28" s="170"/>
      <c r="G28" s="171"/>
    </row>
    <row r="29" spans="1:7" ht="15.75" thickBot="1" x14ac:dyDescent="0.3">
      <c r="A29" s="828" t="s">
        <v>72</v>
      </c>
      <c r="B29" s="829"/>
      <c r="C29" s="822"/>
      <c r="D29" s="823"/>
      <c r="E29" s="823"/>
      <c r="F29" s="823"/>
      <c r="G29" s="824"/>
    </row>
  </sheetData>
  <mergeCells count="18">
    <mergeCell ref="A2:B2"/>
    <mergeCell ref="A29:B29"/>
    <mergeCell ref="D9:D11"/>
    <mergeCell ref="D7:D8"/>
    <mergeCell ref="A12:A14"/>
    <mergeCell ref="B12:B14"/>
    <mergeCell ref="C13:C14"/>
    <mergeCell ref="D13:D14"/>
    <mergeCell ref="A7:A8"/>
    <mergeCell ref="B7:B8"/>
    <mergeCell ref="C7:C8"/>
    <mergeCell ref="E7:E8"/>
    <mergeCell ref="F7:F8"/>
    <mergeCell ref="F13:F14"/>
    <mergeCell ref="C29:G29"/>
    <mergeCell ref="E10:E11"/>
    <mergeCell ref="F10:F11"/>
    <mergeCell ref="G10:G11"/>
  </mergeCells>
  <hyperlinks>
    <hyperlink ref="G2" location="Índice!A1" display="Voltar ao índice" xr:uid="{00000000-0004-0000-0B00-000000000000}"/>
  </hyperlinks>
  <pageMargins left="0.70866141732283472" right="0.70866141732283472" top="1.3779527559055118" bottom="0.74803149606299213" header="0.31496062992125984" footer="0.31496062992125984"/>
  <pageSetup paperSize="9" scale="70" orientation="landscape" r:id="rId1"/>
  <headerFooter>
    <oddHeader>&amp;L&amp;G&amp;C&amp;"-,Negrito"
&amp;24Caderno de Campo</oddHeader>
    <oddFooter>&amp;C&amp;G</oddFooter>
  </headerFooter>
  <legacy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59999389629810485"/>
    <pageSetUpPr fitToPage="1"/>
  </sheetPr>
  <dimension ref="A3:N29"/>
  <sheetViews>
    <sheetView showGridLines="0" showRuler="0" view="pageLayout" zoomScale="90" zoomScaleNormal="100" zoomScalePageLayoutView="90" workbookViewId="0">
      <selection activeCell="J16" sqref="J16"/>
    </sheetView>
  </sheetViews>
  <sheetFormatPr defaultRowHeight="15" x14ac:dyDescent="0.25"/>
  <cols>
    <col min="1" max="1" width="13.42578125" customWidth="1"/>
    <col min="2" max="2" width="13.5703125" customWidth="1"/>
    <col min="3" max="4" width="14" customWidth="1"/>
    <col min="5" max="5" width="15" customWidth="1"/>
    <col min="9" max="9" width="11.140625" customWidth="1"/>
  </cols>
  <sheetData>
    <row r="3" spans="1:14" ht="17.25" x14ac:dyDescent="0.3">
      <c r="A3" s="33" t="s">
        <v>368</v>
      </c>
      <c r="J3" s="604" t="s">
        <v>375</v>
      </c>
      <c r="K3" s="604"/>
    </row>
    <row r="4" spans="1:14" ht="15.75" thickBot="1" x14ac:dyDescent="0.3"/>
    <row r="5" spans="1:14" ht="30.75" thickBot="1" x14ac:dyDescent="0.3">
      <c r="A5" s="355" t="s">
        <v>60</v>
      </c>
      <c r="B5" s="111"/>
      <c r="D5" s="359" t="s">
        <v>133</v>
      </c>
      <c r="E5" s="358" t="s">
        <v>130</v>
      </c>
      <c r="F5" s="106"/>
      <c r="G5" s="358" t="s">
        <v>131</v>
      </c>
      <c r="H5" s="106"/>
      <c r="I5" s="358" t="s">
        <v>132</v>
      </c>
      <c r="J5" s="106"/>
      <c r="K5" s="353" t="s">
        <v>32</v>
      </c>
      <c r="L5" s="12"/>
    </row>
    <row r="6" spans="1:14" x14ac:dyDescent="0.25">
      <c r="A6" s="113"/>
    </row>
    <row r="7" spans="1:14" ht="14.45" customHeight="1" x14ac:dyDescent="0.25">
      <c r="A7" s="772" t="s">
        <v>62</v>
      </c>
      <c r="B7" s="835"/>
      <c r="C7" s="836"/>
      <c r="D7" s="836"/>
      <c r="E7" s="837"/>
      <c r="F7" s="8"/>
      <c r="G7" s="66"/>
      <c r="J7" s="66"/>
      <c r="K7" s="66"/>
    </row>
    <row r="8" spans="1:14" ht="14.45" customHeight="1" x14ac:dyDescent="0.25">
      <c r="A8" s="772"/>
      <c r="B8" s="838"/>
      <c r="C8" s="839"/>
      <c r="D8" s="839"/>
      <c r="E8" s="840"/>
      <c r="F8" s="8"/>
      <c r="G8" s="66"/>
      <c r="J8" s="66"/>
      <c r="K8" s="66"/>
    </row>
    <row r="9" spans="1:14" ht="14.45" customHeight="1" x14ac:dyDescent="0.25">
      <c r="A9" s="114"/>
      <c r="B9" s="114"/>
      <c r="C9" s="114"/>
      <c r="D9" s="8"/>
      <c r="E9" s="8"/>
      <c r="F9" s="8"/>
      <c r="G9" s="66"/>
      <c r="J9" s="66"/>
      <c r="K9" s="66"/>
    </row>
    <row r="10" spans="1:14" ht="29.1" customHeight="1" x14ac:dyDescent="0.25">
      <c r="A10" s="114" t="s">
        <v>126</v>
      </c>
      <c r="B10" s="115"/>
      <c r="C10" s="124" t="s">
        <v>127</v>
      </c>
      <c r="D10" s="10"/>
      <c r="E10" s="66" t="s">
        <v>128</v>
      </c>
      <c r="F10" s="10"/>
      <c r="G10" s="710" t="s">
        <v>134</v>
      </c>
      <c r="H10" s="662"/>
      <c r="I10" s="711"/>
      <c r="J10" s="712"/>
      <c r="M10" s="219"/>
      <c r="N10" s="146"/>
    </row>
    <row r="11" spans="1:14" x14ac:dyDescent="0.25">
      <c r="A11" s="114"/>
      <c r="B11" s="114"/>
      <c r="C11" s="114"/>
      <c r="D11" s="114"/>
      <c r="E11" s="114"/>
      <c r="F11" s="114"/>
      <c r="G11" s="114"/>
      <c r="H11" s="114"/>
      <c r="I11" s="66"/>
      <c r="J11" s="66"/>
      <c r="K11" s="66"/>
    </row>
    <row r="12" spans="1:14" x14ac:dyDescent="0.25">
      <c r="A12" s="114"/>
      <c r="B12" s="114"/>
      <c r="C12" s="114"/>
      <c r="D12" s="108" t="s">
        <v>66</v>
      </c>
      <c r="G12" s="108" t="s">
        <v>67</v>
      </c>
      <c r="H12" s="114"/>
      <c r="I12" s="66" t="s">
        <v>64</v>
      </c>
      <c r="J12" s="66"/>
      <c r="K12" s="66"/>
    </row>
    <row r="13" spans="1:14" x14ac:dyDescent="0.25">
      <c r="A13" s="108" t="s">
        <v>65</v>
      </c>
      <c r="B13" s="68"/>
      <c r="D13" s="117"/>
      <c r="E13" s="109"/>
      <c r="F13" s="109"/>
      <c r="G13" s="713"/>
      <c r="H13" s="714"/>
      <c r="I13" s="66" t="s">
        <v>135</v>
      </c>
      <c r="J13" s="66"/>
      <c r="K13" s="66"/>
    </row>
    <row r="14" spans="1:14" ht="15.75" thickBot="1" x14ac:dyDescent="0.3">
      <c r="A14" s="220"/>
    </row>
    <row r="15" spans="1:14" ht="15.75" thickBot="1" x14ac:dyDescent="0.3">
      <c r="A15" s="841" t="s">
        <v>68</v>
      </c>
      <c r="B15" s="844" t="s">
        <v>349</v>
      </c>
      <c r="C15" s="845"/>
      <c r="D15" s="846" t="s">
        <v>350</v>
      </c>
      <c r="E15" s="847"/>
      <c r="F15" s="855"/>
      <c r="G15" s="855"/>
      <c r="H15" s="855"/>
    </row>
    <row r="16" spans="1:14" x14ac:dyDescent="0.25">
      <c r="A16" s="842"/>
      <c r="B16" s="848" t="s">
        <v>351</v>
      </c>
      <c r="C16" s="850" t="s">
        <v>352</v>
      </c>
      <c r="D16" s="852" t="s">
        <v>353</v>
      </c>
      <c r="E16" s="487" t="s">
        <v>86</v>
      </c>
      <c r="F16" s="854"/>
      <c r="G16" s="14"/>
      <c r="H16" s="14"/>
    </row>
    <row r="17" spans="1:8" ht="15.75" thickBot="1" x14ac:dyDescent="0.3">
      <c r="A17" s="843"/>
      <c r="B17" s="849"/>
      <c r="C17" s="851"/>
      <c r="D17" s="853"/>
      <c r="E17" s="488" t="s">
        <v>88</v>
      </c>
      <c r="F17" s="854"/>
      <c r="G17" s="14"/>
      <c r="H17" s="14"/>
    </row>
    <row r="18" spans="1:8" ht="15.75" thickBot="1" x14ac:dyDescent="0.3">
      <c r="A18" s="321"/>
      <c r="B18" s="221"/>
      <c r="C18" s="225"/>
      <c r="D18" s="322"/>
      <c r="E18" s="229"/>
      <c r="F18" s="14"/>
      <c r="G18" s="14"/>
      <c r="H18" s="14"/>
    </row>
    <row r="19" spans="1:8" ht="15.75" thickBot="1" x14ac:dyDescent="0.3">
      <c r="A19" s="321"/>
      <c r="B19" s="221"/>
      <c r="C19" s="225"/>
      <c r="D19" s="322"/>
      <c r="E19" s="229"/>
      <c r="F19" s="228"/>
      <c r="G19" s="228"/>
      <c r="H19" s="228"/>
    </row>
    <row r="20" spans="1:8" ht="15.75" thickBot="1" x14ac:dyDescent="0.3">
      <c r="A20" s="321"/>
      <c r="B20" s="221"/>
      <c r="C20" s="225"/>
      <c r="D20" s="322"/>
      <c r="E20" s="229"/>
      <c r="F20" s="228"/>
      <c r="G20" s="228"/>
      <c r="H20" s="228"/>
    </row>
    <row r="21" spans="1:8" ht="15.75" thickBot="1" x14ac:dyDescent="0.3">
      <c r="A21" s="232"/>
      <c r="B21" s="223"/>
      <c r="C21" s="227"/>
      <c r="D21" s="232"/>
      <c r="E21" s="233"/>
      <c r="F21" s="228"/>
      <c r="G21" s="228"/>
      <c r="H21" s="228"/>
    </row>
    <row r="22" spans="1:8" ht="15.75" thickBot="1" x14ac:dyDescent="0.3">
      <c r="A22" s="321"/>
      <c r="B22" s="221"/>
      <c r="C22" s="225"/>
      <c r="D22" s="322"/>
      <c r="E22" s="229"/>
      <c r="F22" s="224"/>
      <c r="G22" s="224"/>
      <c r="H22" s="224"/>
    </row>
    <row r="23" spans="1:8" ht="15.75" thickBot="1" x14ac:dyDescent="0.3">
      <c r="A23" s="321"/>
      <c r="B23" s="221"/>
      <c r="C23" s="225"/>
      <c r="D23" s="322"/>
      <c r="E23" s="229"/>
      <c r="F23" s="224"/>
      <c r="G23" s="224"/>
      <c r="H23" s="224"/>
    </row>
    <row r="24" spans="1:8" ht="15.75" thickBot="1" x14ac:dyDescent="0.3">
      <c r="A24" s="230"/>
      <c r="B24" s="222"/>
      <c r="C24" s="226"/>
      <c r="D24" s="230"/>
      <c r="E24" s="231"/>
    </row>
    <row r="25" spans="1:8" ht="15.75" thickBot="1" x14ac:dyDescent="0.3">
      <c r="A25" s="321"/>
      <c r="B25" s="221"/>
      <c r="C25" s="225"/>
      <c r="D25" s="322"/>
      <c r="E25" s="229"/>
    </row>
    <row r="26" spans="1:8" ht="15.75" thickBot="1" x14ac:dyDescent="0.3">
      <c r="A26" s="321"/>
      <c r="B26" s="221"/>
      <c r="C26" s="225"/>
      <c r="D26" s="322"/>
      <c r="E26" s="229"/>
    </row>
    <row r="27" spans="1:8" x14ac:dyDescent="0.25">
      <c r="A27" s="228"/>
      <c r="B27" s="228"/>
      <c r="C27" s="228"/>
      <c r="D27" s="228"/>
      <c r="E27" s="228"/>
    </row>
    <row r="28" spans="1:8" x14ac:dyDescent="0.25">
      <c r="A28" s="228"/>
      <c r="B28" s="228"/>
      <c r="C28" s="228"/>
      <c r="D28" s="228"/>
      <c r="E28" s="228"/>
    </row>
    <row r="29" spans="1:8" x14ac:dyDescent="0.25">
      <c r="A29" s="228"/>
      <c r="B29" s="228"/>
      <c r="C29" s="228"/>
      <c r="D29" s="228"/>
      <c r="E29" s="228"/>
    </row>
  </sheetData>
  <mergeCells count="14">
    <mergeCell ref="J3:K3"/>
    <mergeCell ref="F16:F17"/>
    <mergeCell ref="G10:H10"/>
    <mergeCell ref="I10:J10"/>
    <mergeCell ref="G13:H13"/>
    <mergeCell ref="F15:H15"/>
    <mergeCell ref="A7:A8"/>
    <mergeCell ref="B7:E8"/>
    <mergeCell ref="A15:A17"/>
    <mergeCell ref="B15:C15"/>
    <mergeCell ref="D15:E15"/>
    <mergeCell ref="B16:B17"/>
    <mergeCell ref="C16:C17"/>
    <mergeCell ref="D16:D17"/>
  </mergeCells>
  <hyperlinks>
    <hyperlink ref="J3:K3" location="Índice!A1" display="Voltar ao índice" xr:uid="{00000000-0004-0000-0C00-000000000000}"/>
  </hyperlinks>
  <pageMargins left="0.7" right="0.7" top="1.3958333333333333" bottom="0.75" header="0.3" footer="0.3"/>
  <pageSetup paperSize="9" scale="96" orientation="landscape" r:id="rId1"/>
  <headerFooter>
    <oddHeader>&amp;L&amp;G&amp;C
&amp;"-,Negrito"&amp;24Caderno de Campo</oddHeader>
    <oddFooter>&amp;C&amp;G&amp;R]</oddFooter>
  </headerFooter>
  <legacyDrawing r:id="rId2"/>
  <legacyDrawingHF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59999389629810485"/>
    <pageSetUpPr fitToPage="1"/>
  </sheetPr>
  <dimension ref="A3:I17"/>
  <sheetViews>
    <sheetView showGridLines="0" showRuler="0" view="pageLayout" zoomScale="90" zoomScaleNormal="100" zoomScalePageLayoutView="90" workbookViewId="0">
      <selection activeCell="E3" sqref="E3"/>
    </sheetView>
  </sheetViews>
  <sheetFormatPr defaultColWidth="9.140625" defaultRowHeight="15" x14ac:dyDescent="0.25"/>
  <cols>
    <col min="1" max="1" width="12.140625" customWidth="1"/>
    <col min="2" max="2" width="25.5703125" customWidth="1"/>
    <col min="3" max="4" width="14.28515625" customWidth="1"/>
    <col min="5" max="6" width="25.5703125" customWidth="1"/>
    <col min="7" max="7" width="18.85546875" customWidth="1"/>
    <col min="8" max="9" width="25.5703125" customWidth="1"/>
  </cols>
  <sheetData>
    <row r="3" spans="1:9" ht="17.25" x14ac:dyDescent="0.3">
      <c r="A3" s="33" t="s">
        <v>369</v>
      </c>
      <c r="I3" s="315" t="s">
        <v>375</v>
      </c>
    </row>
    <row r="5" spans="1:9" ht="15.75" thickBot="1" x14ac:dyDescent="0.3"/>
    <row r="6" spans="1:9" ht="25.35" customHeight="1" x14ac:dyDescent="0.25">
      <c r="A6" s="856" t="s">
        <v>68</v>
      </c>
      <c r="B6" s="502" t="s">
        <v>89</v>
      </c>
      <c r="C6" s="502" t="s">
        <v>90</v>
      </c>
      <c r="D6" s="642" t="s">
        <v>604</v>
      </c>
      <c r="E6" s="856" t="s">
        <v>91</v>
      </c>
      <c r="F6" s="856" t="s">
        <v>92</v>
      </c>
      <c r="G6" s="856" t="s">
        <v>93</v>
      </c>
      <c r="H6" s="856" t="s">
        <v>94</v>
      </c>
      <c r="I6" s="856" t="s">
        <v>72</v>
      </c>
    </row>
    <row r="7" spans="1:9" ht="15.75" thickBot="1" x14ac:dyDescent="0.3">
      <c r="A7" s="857"/>
      <c r="B7" s="503" t="s">
        <v>95</v>
      </c>
      <c r="C7" s="503" t="s">
        <v>96</v>
      </c>
      <c r="D7" s="644"/>
      <c r="E7" s="857"/>
      <c r="F7" s="857"/>
      <c r="G7" s="857"/>
      <c r="H7" s="857"/>
      <c r="I7" s="857"/>
    </row>
    <row r="8" spans="1:9" ht="15.75" thickBot="1" x14ac:dyDescent="0.3">
      <c r="A8" s="172"/>
      <c r="B8" s="173"/>
      <c r="C8" s="173"/>
      <c r="D8" s="173"/>
      <c r="E8" s="173"/>
      <c r="F8" s="173"/>
      <c r="G8" s="173"/>
      <c r="H8" s="173"/>
      <c r="I8" s="174"/>
    </row>
    <row r="9" spans="1:9" ht="15.75" thickBot="1" x14ac:dyDescent="0.3">
      <c r="A9" s="172"/>
      <c r="B9" s="173"/>
      <c r="C9" s="173"/>
      <c r="D9" s="173"/>
      <c r="E9" s="173"/>
      <c r="F9" s="173"/>
      <c r="G9" s="173"/>
      <c r="H9" s="173"/>
      <c r="I9" s="174"/>
    </row>
    <row r="10" spans="1:9" ht="15.75" thickBot="1" x14ac:dyDescent="0.3">
      <c r="A10" s="172"/>
      <c r="B10" s="173"/>
      <c r="C10" s="173"/>
      <c r="D10" s="173"/>
      <c r="E10" s="173"/>
      <c r="F10" s="173"/>
      <c r="G10" s="173"/>
      <c r="H10" s="173"/>
      <c r="I10" s="174"/>
    </row>
    <row r="11" spans="1:9" ht="15.75" thickBot="1" x14ac:dyDescent="0.3">
      <c r="A11" s="172"/>
      <c r="B11" s="173"/>
      <c r="C11" s="173"/>
      <c r="D11" s="173"/>
      <c r="E11" s="173"/>
      <c r="F11" s="173"/>
      <c r="G11" s="173"/>
      <c r="H11" s="173"/>
      <c r="I11" s="174"/>
    </row>
    <row r="12" spans="1:9" ht="15.75" thickBot="1" x14ac:dyDescent="0.3">
      <c r="A12" s="172"/>
      <c r="B12" s="173"/>
      <c r="C12" s="173"/>
      <c r="D12" s="173"/>
      <c r="E12" s="173"/>
      <c r="F12" s="173"/>
      <c r="G12" s="173"/>
      <c r="H12" s="173"/>
      <c r="I12" s="174"/>
    </row>
    <row r="13" spans="1:9" ht="15.75" thickBot="1" x14ac:dyDescent="0.3">
      <c r="A13" s="172"/>
      <c r="B13" s="173"/>
      <c r="C13" s="173"/>
      <c r="D13" s="173"/>
      <c r="E13" s="173"/>
      <c r="F13" s="173"/>
      <c r="G13" s="173"/>
      <c r="H13" s="173"/>
      <c r="I13" s="174"/>
    </row>
    <row r="14" spans="1:9" ht="15.75" thickBot="1" x14ac:dyDescent="0.3">
      <c r="A14" s="172"/>
      <c r="B14" s="173"/>
      <c r="C14" s="173"/>
      <c r="D14" s="173"/>
      <c r="E14" s="173"/>
      <c r="F14" s="173"/>
      <c r="G14" s="173"/>
      <c r="H14" s="173"/>
      <c r="I14" s="174"/>
    </row>
    <row r="15" spans="1:9" ht="15.75" thickBot="1" x14ac:dyDescent="0.3">
      <c r="A15" s="172"/>
      <c r="B15" s="173"/>
      <c r="C15" s="173"/>
      <c r="D15" s="173"/>
      <c r="E15" s="173"/>
      <c r="F15" s="173"/>
      <c r="G15" s="173"/>
      <c r="H15" s="173"/>
      <c r="I15" s="174"/>
    </row>
    <row r="16" spans="1:9" ht="15.75" thickBot="1" x14ac:dyDescent="0.3">
      <c r="A16" s="172"/>
      <c r="B16" s="173"/>
      <c r="C16" s="173"/>
      <c r="D16" s="173"/>
      <c r="E16" s="173"/>
      <c r="F16" s="173"/>
      <c r="G16" s="173"/>
      <c r="H16" s="173"/>
      <c r="I16" s="174"/>
    </row>
    <row r="17" spans="1:9" ht="15.75" thickBot="1" x14ac:dyDescent="0.3">
      <c r="A17" s="175"/>
      <c r="B17" s="176"/>
      <c r="C17" s="176"/>
      <c r="D17" s="176"/>
      <c r="E17" s="176"/>
      <c r="F17" s="176"/>
      <c r="G17" s="176"/>
      <c r="H17" s="176"/>
      <c r="I17" s="177"/>
    </row>
  </sheetData>
  <mergeCells count="7">
    <mergeCell ref="I6:I7"/>
    <mergeCell ref="A6:A7"/>
    <mergeCell ref="E6:E7"/>
    <mergeCell ref="F6:F7"/>
    <mergeCell ref="G6:G7"/>
    <mergeCell ref="H6:H7"/>
    <mergeCell ref="D6:D7"/>
  </mergeCells>
  <hyperlinks>
    <hyperlink ref="I3" location="Índice!A1" display="Voltar ao índice" xr:uid="{00000000-0004-0000-0D00-000000000000}"/>
  </hyperlinks>
  <pageMargins left="0.70866141732283472" right="0.70866141732283472" top="1.3779527559055118" bottom="0.74803149606299213" header="0.31496062992125984" footer="0.31496062992125984"/>
  <pageSetup paperSize="9" scale="69" orientation="landscape" r:id="rId1"/>
  <headerFooter>
    <oddHeader>&amp;L&amp;G&amp;C&amp;"-,Negrito"
&amp;24Caderno de Campo</oddHeader>
    <oddFooter>&amp;C&amp;G</oddFooter>
  </headerFooter>
  <legacyDrawing r:id="rId2"/>
  <legacyDrawingHF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pageSetUpPr fitToPage="1"/>
  </sheetPr>
  <dimension ref="A2:D20"/>
  <sheetViews>
    <sheetView showGridLines="0" showRuler="0" view="pageLayout" zoomScale="90" zoomScaleNormal="100" zoomScalePageLayoutView="90" workbookViewId="0">
      <selection activeCell="D2" sqref="D2"/>
    </sheetView>
  </sheetViews>
  <sheetFormatPr defaultColWidth="9.140625" defaultRowHeight="15" x14ac:dyDescent="0.25"/>
  <cols>
    <col min="1" max="4" width="30.140625" customWidth="1"/>
  </cols>
  <sheetData>
    <row r="2" spans="1:4" ht="17.25" x14ac:dyDescent="0.3">
      <c r="A2" s="33" t="s">
        <v>370</v>
      </c>
      <c r="B2" s="48"/>
      <c r="D2" s="315" t="s">
        <v>375</v>
      </c>
    </row>
    <row r="4" spans="1:4" ht="15.75" thickBot="1" x14ac:dyDescent="0.3"/>
    <row r="5" spans="1:4" ht="23.1" customHeight="1" x14ac:dyDescent="0.25">
      <c r="A5" s="856" t="s">
        <v>68</v>
      </c>
      <c r="B5" s="856" t="s">
        <v>89</v>
      </c>
      <c r="C5" s="502" t="s">
        <v>90</v>
      </c>
      <c r="D5" s="856" t="s">
        <v>253</v>
      </c>
    </row>
    <row r="6" spans="1:4" ht="15.75" thickBot="1" x14ac:dyDescent="0.3">
      <c r="A6" s="857"/>
      <c r="B6" s="857"/>
      <c r="C6" s="503" t="s">
        <v>96</v>
      </c>
      <c r="D6" s="857"/>
    </row>
    <row r="7" spans="1:4" x14ac:dyDescent="0.25">
      <c r="A7" s="178"/>
      <c r="B7" s="179"/>
      <c r="C7" s="179"/>
      <c r="D7" s="180"/>
    </row>
    <row r="8" spans="1:4" x14ac:dyDescent="0.25">
      <c r="A8" s="181"/>
      <c r="B8" s="182"/>
      <c r="C8" s="182"/>
      <c r="D8" s="183"/>
    </row>
    <row r="9" spans="1:4" x14ac:dyDescent="0.25">
      <c r="A9" s="181"/>
      <c r="B9" s="182"/>
      <c r="C9" s="182"/>
      <c r="D9" s="183"/>
    </row>
    <row r="10" spans="1:4" x14ac:dyDescent="0.25">
      <c r="A10" s="181"/>
      <c r="B10" s="182"/>
      <c r="C10" s="182"/>
      <c r="D10" s="183"/>
    </row>
    <row r="11" spans="1:4" x14ac:dyDescent="0.25">
      <c r="A11" s="181"/>
      <c r="B11" s="182"/>
      <c r="C11" s="182"/>
      <c r="D11" s="183"/>
    </row>
    <row r="12" spans="1:4" x14ac:dyDescent="0.25">
      <c r="A12" s="178"/>
      <c r="B12" s="179"/>
      <c r="C12" s="179"/>
      <c r="D12" s="180"/>
    </row>
    <row r="13" spans="1:4" x14ac:dyDescent="0.25">
      <c r="A13" s="181"/>
      <c r="B13" s="182"/>
      <c r="C13" s="182"/>
      <c r="D13" s="183"/>
    </row>
    <row r="14" spans="1:4" x14ac:dyDescent="0.25">
      <c r="A14" s="181"/>
      <c r="B14" s="182"/>
      <c r="C14" s="182"/>
      <c r="D14" s="183"/>
    </row>
    <row r="15" spans="1:4" x14ac:dyDescent="0.25">
      <c r="A15" s="181"/>
      <c r="B15" s="182"/>
      <c r="C15" s="182"/>
      <c r="D15" s="183"/>
    </row>
    <row r="16" spans="1:4" x14ac:dyDescent="0.25">
      <c r="A16" s="181"/>
      <c r="B16" s="182"/>
      <c r="C16" s="182"/>
      <c r="D16" s="183"/>
    </row>
    <row r="17" spans="1:4" x14ac:dyDescent="0.25">
      <c r="A17" s="181"/>
      <c r="B17" s="182"/>
      <c r="C17" s="182"/>
      <c r="D17" s="183"/>
    </row>
    <row r="18" spans="1:4" x14ac:dyDescent="0.25">
      <c r="A18" s="181"/>
      <c r="B18" s="182"/>
      <c r="C18" s="182"/>
      <c r="D18" s="183"/>
    </row>
    <row r="19" spans="1:4" x14ac:dyDescent="0.25">
      <c r="A19" s="181"/>
      <c r="B19" s="182"/>
      <c r="C19" s="182"/>
      <c r="D19" s="183"/>
    </row>
    <row r="20" spans="1:4" ht="15.75" thickBot="1" x14ac:dyDescent="0.3">
      <c r="A20" s="184"/>
      <c r="B20" s="185"/>
      <c r="C20" s="185"/>
      <c r="D20" s="186"/>
    </row>
  </sheetData>
  <mergeCells count="3">
    <mergeCell ref="B5:B6"/>
    <mergeCell ref="A5:A6"/>
    <mergeCell ref="D5:D6"/>
  </mergeCells>
  <hyperlinks>
    <hyperlink ref="D2" location="Índice!A1" display="Voltar ao índice" xr:uid="{00000000-0004-0000-0E00-000000000000}"/>
  </hyperlinks>
  <pageMargins left="0.70866141732283472" right="0.70866141732283472" top="1.3779527559055118" bottom="0.74803149606299213" header="0.31496062992125984" footer="0.31496062992125984"/>
  <pageSetup paperSize="9" scale="67" orientation="portrait" r:id="rId1"/>
  <headerFooter>
    <oddHeader>&amp;L&amp;G&amp;C&amp;"-,Negrito"
&amp;24Caderno de Campo</oddHeader>
    <oddFooter>&amp;C&amp;G</oddFooter>
  </headerFooter>
  <drawing r:id="rId2"/>
  <legacyDrawing r:id="rId3"/>
  <legacyDrawingHF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249977111117893"/>
    <pageSetUpPr fitToPage="1"/>
  </sheetPr>
  <dimension ref="A2:L39"/>
  <sheetViews>
    <sheetView showGridLines="0" view="pageLayout" zoomScale="90" zoomScaleNormal="100" zoomScalePageLayoutView="90" workbookViewId="0">
      <selection activeCell="H29" sqref="H29"/>
    </sheetView>
  </sheetViews>
  <sheetFormatPr defaultRowHeight="15" x14ac:dyDescent="0.25"/>
  <cols>
    <col min="1" max="1" width="12.85546875" customWidth="1"/>
    <col min="2" max="2" width="13.5703125" customWidth="1"/>
    <col min="3" max="3" width="10.42578125" customWidth="1"/>
    <col min="4" max="4" width="14" bestFit="1" customWidth="1"/>
    <col min="5" max="5" width="8" customWidth="1"/>
    <col min="7" max="7" width="12.5703125" bestFit="1" customWidth="1"/>
    <col min="8" max="8" width="11.28515625" customWidth="1"/>
  </cols>
  <sheetData>
    <row r="2" spans="1:12" ht="17.25" x14ac:dyDescent="0.3">
      <c r="A2" s="650" t="s">
        <v>428</v>
      </c>
      <c r="B2" s="650"/>
      <c r="C2" s="650"/>
      <c r="D2" s="650"/>
      <c r="E2" s="650"/>
      <c r="K2" s="604" t="s">
        <v>375</v>
      </c>
      <c r="L2" s="604"/>
    </row>
    <row r="4" spans="1:12" x14ac:dyDescent="0.25">
      <c r="A4" s="760" t="s">
        <v>429</v>
      </c>
      <c r="B4" s="760"/>
      <c r="C4" s="760"/>
      <c r="D4" s="760"/>
      <c r="E4" s="760"/>
      <c r="F4" s="760"/>
      <c r="G4" s="760"/>
      <c r="H4" s="760"/>
    </row>
    <row r="5" spans="1:12" ht="15.75" thickBot="1" x14ac:dyDescent="0.3"/>
    <row r="6" spans="1:12" ht="18" thickBot="1" x14ac:dyDescent="0.3">
      <c r="A6" s="251" t="s">
        <v>430</v>
      </c>
      <c r="B6" s="606"/>
      <c r="C6" s="608"/>
      <c r="D6" t="s">
        <v>259</v>
      </c>
      <c r="F6" s="251" t="s">
        <v>431</v>
      </c>
      <c r="G6" s="606"/>
      <c r="H6" s="608"/>
      <c r="I6" t="s">
        <v>259</v>
      </c>
    </row>
    <row r="7" spans="1:12" ht="15.75" thickBot="1" x14ac:dyDescent="0.3"/>
    <row r="8" spans="1:12" ht="18" thickBot="1" x14ac:dyDescent="0.3">
      <c r="A8" s="760" t="s">
        <v>432</v>
      </c>
      <c r="B8" s="760"/>
      <c r="C8" s="760"/>
      <c r="D8" s="293"/>
      <c r="E8" s="294"/>
      <c r="F8" t="s">
        <v>259</v>
      </c>
      <c r="G8" s="760" t="s">
        <v>433</v>
      </c>
      <c r="H8" s="760"/>
      <c r="I8" s="293"/>
      <c r="J8" s="294"/>
      <c r="K8" t="s">
        <v>259</v>
      </c>
    </row>
    <row r="9" spans="1:12" ht="15.75" thickBot="1" x14ac:dyDescent="0.3"/>
    <row r="10" spans="1:12" ht="18" thickBot="1" x14ac:dyDescent="0.3">
      <c r="A10" s="760" t="s">
        <v>434</v>
      </c>
      <c r="B10" s="760"/>
      <c r="C10" s="606"/>
      <c r="D10" s="608"/>
      <c r="E10" t="s">
        <v>259</v>
      </c>
      <c r="F10" s="760" t="s">
        <v>435</v>
      </c>
      <c r="G10" s="760"/>
      <c r="H10" s="293"/>
      <c r="I10" s="294"/>
      <c r="J10" t="s">
        <v>259</v>
      </c>
    </row>
    <row r="13" spans="1:12" x14ac:dyDescent="0.25">
      <c r="A13" s="760" t="s">
        <v>436</v>
      </c>
      <c r="B13" s="760"/>
      <c r="C13" s="760"/>
      <c r="D13" s="760"/>
      <c r="E13" s="760"/>
      <c r="F13" s="760"/>
      <c r="G13" s="760"/>
      <c r="H13" s="760"/>
      <c r="I13" s="760"/>
      <c r="J13" s="760"/>
      <c r="K13" s="760"/>
      <c r="L13" s="760"/>
    </row>
    <row r="14" spans="1:12" ht="15.75" thickBot="1" x14ac:dyDescent="0.3"/>
    <row r="15" spans="1:12" ht="29.1" customHeight="1" x14ac:dyDescent="0.25">
      <c r="A15" s="870" t="s">
        <v>437</v>
      </c>
      <c r="B15" s="867" t="s">
        <v>438</v>
      </c>
      <c r="C15" s="867" t="s">
        <v>439</v>
      </c>
      <c r="D15" s="872" t="s">
        <v>440</v>
      </c>
      <c r="E15" s="872"/>
      <c r="F15" s="872"/>
      <c r="G15" s="872"/>
      <c r="H15" s="872"/>
      <c r="I15" s="872"/>
      <c r="J15" s="873" t="s">
        <v>445</v>
      </c>
      <c r="K15" s="874"/>
    </row>
    <row r="16" spans="1:12" ht="43.35" customHeight="1" x14ac:dyDescent="0.25">
      <c r="A16" s="871"/>
      <c r="B16" s="868"/>
      <c r="C16" s="868"/>
      <c r="D16" s="866" t="s">
        <v>441</v>
      </c>
      <c r="E16" s="866"/>
      <c r="F16" s="866" t="s">
        <v>443</v>
      </c>
      <c r="G16" s="866"/>
      <c r="H16" s="868" t="s">
        <v>444</v>
      </c>
      <c r="I16" s="868"/>
      <c r="J16" s="875"/>
      <c r="K16" s="876"/>
    </row>
    <row r="17" spans="1:11" ht="45.75" thickBot="1" x14ac:dyDescent="0.3">
      <c r="A17" s="676"/>
      <c r="B17" s="869"/>
      <c r="C17" s="869"/>
      <c r="D17" s="450" t="s">
        <v>573</v>
      </c>
      <c r="E17" s="450" t="s">
        <v>457</v>
      </c>
      <c r="F17" s="450" t="s">
        <v>573</v>
      </c>
      <c r="G17" s="450" t="s">
        <v>442</v>
      </c>
      <c r="H17" s="450" t="s">
        <v>573</v>
      </c>
      <c r="I17" s="450" t="s">
        <v>442</v>
      </c>
      <c r="J17" s="450" t="s">
        <v>573</v>
      </c>
      <c r="K17" s="451" t="s">
        <v>442</v>
      </c>
    </row>
    <row r="18" spans="1:11" x14ac:dyDescent="0.25">
      <c r="A18" s="295"/>
      <c r="B18" s="296"/>
      <c r="C18" s="296"/>
      <c r="D18" s="296"/>
      <c r="E18" s="296"/>
      <c r="F18" s="296"/>
      <c r="G18" s="296"/>
      <c r="H18" s="296"/>
      <c r="I18" s="296"/>
      <c r="J18" s="296"/>
      <c r="K18" s="297"/>
    </row>
    <row r="19" spans="1:11" x14ac:dyDescent="0.25">
      <c r="A19" s="298"/>
      <c r="B19" s="106"/>
      <c r="C19" s="106"/>
      <c r="D19" s="106"/>
      <c r="E19" s="106"/>
      <c r="F19" s="106"/>
      <c r="G19" s="106"/>
      <c r="H19" s="106"/>
      <c r="I19" s="106"/>
      <c r="J19" s="106"/>
      <c r="K19" s="299"/>
    </row>
    <row r="20" spans="1:11" ht="15.75" thickBot="1" x14ac:dyDescent="0.3">
      <c r="A20" s="110"/>
      <c r="B20" s="300"/>
      <c r="C20" s="300"/>
      <c r="D20" s="302"/>
      <c r="E20" s="302"/>
      <c r="F20" s="302"/>
      <c r="G20" s="302"/>
      <c r="H20" s="302"/>
      <c r="I20" s="302"/>
      <c r="J20" s="302"/>
      <c r="K20" s="216"/>
    </row>
    <row r="21" spans="1:11" ht="15.75" thickBot="1" x14ac:dyDescent="0.3">
      <c r="C21" t="s">
        <v>446</v>
      </c>
      <c r="D21" s="303"/>
      <c r="E21" s="304"/>
      <c r="F21" s="304"/>
      <c r="G21" s="304"/>
      <c r="H21" s="304"/>
      <c r="I21" s="304"/>
      <c r="J21" s="304"/>
      <c r="K21" s="305"/>
    </row>
    <row r="26" spans="1:11" x14ac:dyDescent="0.25">
      <c r="A26" s="760" t="s">
        <v>447</v>
      </c>
      <c r="B26" s="760"/>
      <c r="C26" s="760"/>
    </row>
    <row r="27" spans="1:11" ht="15.75" thickBot="1" x14ac:dyDescent="0.3"/>
    <row r="28" spans="1:11" ht="86.45" customHeight="1" x14ac:dyDescent="0.25">
      <c r="A28" s="864" t="s">
        <v>448</v>
      </c>
      <c r="B28" s="862" t="s">
        <v>449</v>
      </c>
      <c r="C28" s="858" t="s">
        <v>450</v>
      </c>
      <c r="D28" s="859"/>
      <c r="E28" s="858" t="s">
        <v>453</v>
      </c>
      <c r="F28" s="860"/>
      <c r="G28" s="860"/>
      <c r="H28" s="861"/>
    </row>
    <row r="29" spans="1:11" ht="57.6" customHeight="1" thickBot="1" x14ac:dyDescent="0.3">
      <c r="A29" s="865"/>
      <c r="B29" s="863"/>
      <c r="C29" s="504" t="s">
        <v>451</v>
      </c>
      <c r="D29" s="505" t="s">
        <v>452</v>
      </c>
      <c r="E29" s="505" t="s">
        <v>454</v>
      </c>
      <c r="F29" s="505" t="s">
        <v>91</v>
      </c>
      <c r="G29" s="504" t="s">
        <v>455</v>
      </c>
      <c r="H29" s="506" t="s">
        <v>456</v>
      </c>
    </row>
    <row r="30" spans="1:11" x14ac:dyDescent="0.25">
      <c r="A30" s="295"/>
      <c r="B30" s="296"/>
      <c r="C30" s="296"/>
      <c r="D30" s="296"/>
      <c r="E30" s="296"/>
      <c r="F30" s="296"/>
      <c r="G30" s="296"/>
      <c r="H30" s="297"/>
    </row>
    <row r="31" spans="1:11" x14ac:dyDescent="0.25">
      <c r="A31" s="298"/>
      <c r="B31" s="106"/>
      <c r="C31" s="106"/>
      <c r="D31" s="106"/>
      <c r="E31" s="106"/>
      <c r="F31" s="106"/>
      <c r="G31" s="106"/>
      <c r="H31" s="299"/>
    </row>
    <row r="32" spans="1:11" x14ac:dyDescent="0.25">
      <c r="A32" s="298"/>
      <c r="B32" s="106"/>
      <c r="C32" s="106"/>
      <c r="D32" s="106"/>
      <c r="E32" s="106"/>
      <c r="F32" s="106"/>
      <c r="G32" s="106"/>
      <c r="H32" s="299"/>
    </row>
    <row r="33" spans="1:8" x14ac:dyDescent="0.25">
      <c r="A33" s="298"/>
      <c r="B33" s="106"/>
      <c r="C33" s="106"/>
      <c r="D33" s="106"/>
      <c r="E33" s="106"/>
      <c r="F33" s="106"/>
      <c r="G33" s="106"/>
      <c r="H33" s="299"/>
    </row>
    <row r="34" spans="1:8" x14ac:dyDescent="0.25">
      <c r="A34" s="298"/>
      <c r="B34" s="106"/>
      <c r="C34" s="106"/>
      <c r="D34" s="106"/>
      <c r="E34" s="106"/>
      <c r="F34" s="106"/>
      <c r="G34" s="106"/>
      <c r="H34" s="299"/>
    </row>
    <row r="35" spans="1:8" x14ac:dyDescent="0.25">
      <c r="A35" s="298"/>
      <c r="B35" s="106"/>
      <c r="C35" s="106"/>
      <c r="D35" s="106"/>
      <c r="E35" s="106"/>
      <c r="F35" s="106"/>
      <c r="G35" s="106"/>
      <c r="H35" s="299"/>
    </row>
    <row r="36" spans="1:8" x14ac:dyDescent="0.25">
      <c r="A36" s="298"/>
      <c r="B36" s="106"/>
      <c r="C36" s="106"/>
      <c r="D36" s="106"/>
      <c r="E36" s="106"/>
      <c r="F36" s="106"/>
      <c r="G36" s="106"/>
      <c r="H36" s="299"/>
    </row>
    <row r="37" spans="1:8" x14ac:dyDescent="0.25">
      <c r="A37" s="298"/>
      <c r="B37" s="106"/>
      <c r="C37" s="106"/>
      <c r="D37" s="106"/>
      <c r="E37" s="106"/>
      <c r="F37" s="106"/>
      <c r="G37" s="106"/>
      <c r="H37" s="299"/>
    </row>
    <row r="38" spans="1:8" x14ac:dyDescent="0.25">
      <c r="A38" s="298"/>
      <c r="B38" s="106"/>
      <c r="C38" s="106"/>
      <c r="D38" s="106"/>
      <c r="E38" s="106"/>
      <c r="F38" s="106"/>
      <c r="G38" s="106"/>
      <c r="H38" s="299"/>
    </row>
    <row r="39" spans="1:8" ht="15.75" thickBot="1" x14ac:dyDescent="0.3">
      <c r="A39" s="110"/>
      <c r="B39" s="300"/>
      <c r="C39" s="300"/>
      <c r="D39" s="300"/>
      <c r="E39" s="300"/>
      <c r="F39" s="300"/>
      <c r="G39" s="300"/>
      <c r="H39" s="301"/>
    </row>
  </sheetData>
  <mergeCells count="24">
    <mergeCell ref="K2:L2"/>
    <mergeCell ref="A2:E2"/>
    <mergeCell ref="A4:H4"/>
    <mergeCell ref="B6:C6"/>
    <mergeCell ref="G6:H6"/>
    <mergeCell ref="A8:C8"/>
    <mergeCell ref="G8:H8"/>
    <mergeCell ref="A10:B10"/>
    <mergeCell ref="C10:D10"/>
    <mergeCell ref="F10:G10"/>
    <mergeCell ref="A13:L13"/>
    <mergeCell ref="D16:E16"/>
    <mergeCell ref="C15:C17"/>
    <mergeCell ref="B15:B17"/>
    <mergeCell ref="A15:A17"/>
    <mergeCell ref="F16:G16"/>
    <mergeCell ref="H16:I16"/>
    <mergeCell ref="D15:I15"/>
    <mergeCell ref="J15:K16"/>
    <mergeCell ref="A26:C26"/>
    <mergeCell ref="C28:D28"/>
    <mergeCell ref="E28:H28"/>
    <mergeCell ref="B28:B29"/>
    <mergeCell ref="A28:A29"/>
  </mergeCells>
  <hyperlinks>
    <hyperlink ref="K2:L2" location="Índice!A1" display="Voltar ao índice" xr:uid="{00000000-0004-0000-0F00-000000000000}"/>
  </hyperlinks>
  <pageMargins left="0.7" right="0.7" top="1.6979166666666667" bottom="0.75" header="0.3" footer="0.3"/>
  <pageSetup paperSize="9" fitToHeight="0" orientation="landscape" r:id="rId1"/>
  <headerFooter>
    <oddHeader>&amp;L&amp;G&amp;C&amp;"-,Negrito"
&amp;24Caderno de Campo</oddHeader>
    <oddFooter>&amp;C&amp;G</oddFooter>
  </headerFooter>
  <legacyDrawing r:id="rId2"/>
  <legacyDrawingHF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176"/>
  <sheetViews>
    <sheetView showGridLines="0" showRuler="0" view="pageLayout" topLeftCell="A105" zoomScale="90" zoomScaleNormal="100" zoomScalePageLayoutView="90" workbookViewId="0"/>
  </sheetViews>
  <sheetFormatPr defaultRowHeight="15" x14ac:dyDescent="0.25"/>
  <cols>
    <col min="1" max="1" width="14.85546875" customWidth="1"/>
    <col min="2" max="2" width="11.42578125" customWidth="1"/>
    <col min="3" max="3" width="13.42578125" customWidth="1"/>
    <col min="4" max="4" width="14" customWidth="1"/>
    <col min="5" max="5" width="12.5703125" customWidth="1"/>
    <col min="6" max="6" width="10.5703125" customWidth="1"/>
    <col min="7" max="7" width="12" bestFit="1" customWidth="1"/>
    <col min="9" max="9" width="10" customWidth="1"/>
    <col min="10" max="10" width="10.5703125" customWidth="1"/>
    <col min="12" max="12" width="9.5703125" customWidth="1"/>
    <col min="13" max="13" width="9.42578125" customWidth="1"/>
  </cols>
  <sheetData>
    <row r="1" spans="1:15" ht="17.25" x14ac:dyDescent="0.3">
      <c r="A1" s="33" t="s">
        <v>211</v>
      </c>
      <c r="B1" s="33"/>
      <c r="C1" s="48"/>
      <c r="I1" s="604" t="s">
        <v>375</v>
      </c>
      <c r="J1" s="604"/>
    </row>
    <row r="2" spans="1:15" ht="15.75" thickBot="1" x14ac:dyDescent="0.3"/>
    <row r="3" spans="1:15" ht="45.75" thickBot="1" x14ac:dyDescent="0.3">
      <c r="A3" s="356" t="s">
        <v>60</v>
      </c>
      <c r="B3" s="111"/>
      <c r="C3" s="20" t="s">
        <v>139</v>
      </c>
      <c r="D3" s="21" t="s">
        <v>140</v>
      </c>
      <c r="E3" s="188"/>
      <c r="F3" s="22" t="s">
        <v>141</v>
      </c>
      <c r="G3" s="40"/>
      <c r="H3" s="357" t="s">
        <v>32</v>
      </c>
      <c r="I3" s="189"/>
      <c r="K3" s="11"/>
    </row>
    <row r="4" spans="1:15" ht="15.75" thickBot="1" x14ac:dyDescent="0.3">
      <c r="A4" s="361"/>
      <c r="B4" s="132"/>
      <c r="C4" s="20"/>
      <c r="D4" s="21"/>
      <c r="E4" s="105"/>
      <c r="F4" s="22"/>
      <c r="H4" s="357"/>
      <c r="I4" s="132"/>
      <c r="K4" s="11"/>
    </row>
    <row r="5" spans="1:15" ht="45.75" thickBot="1" x14ac:dyDescent="0.3">
      <c r="A5" s="22" t="s">
        <v>62</v>
      </c>
      <c r="B5" s="915"/>
      <c r="C5" s="916"/>
      <c r="D5" s="136" t="s">
        <v>210</v>
      </c>
      <c r="E5" s="40"/>
      <c r="G5" s="362" t="s">
        <v>209</v>
      </c>
      <c r="H5" s="194"/>
      <c r="I5" s="132"/>
      <c r="K5" s="11"/>
    </row>
    <row r="6" spans="1:15" ht="15.75" thickBot="1" x14ac:dyDescent="0.3">
      <c r="A6" s="22"/>
      <c r="B6" s="8"/>
      <c r="C6" s="8"/>
      <c r="D6" s="136"/>
      <c r="G6" s="362"/>
      <c r="H6" s="66"/>
      <c r="I6" s="132"/>
      <c r="K6" s="11"/>
    </row>
    <row r="7" spans="1:15" ht="28.15" customHeight="1" thickBot="1" x14ac:dyDescent="0.3">
      <c r="A7" s="715" t="s">
        <v>494</v>
      </c>
      <c r="B7" s="715"/>
      <c r="C7" s="715"/>
      <c r="D7" s="363"/>
      <c r="E7" s="136" t="s">
        <v>495</v>
      </c>
      <c r="F7" s="40"/>
      <c r="G7" s="912" t="s">
        <v>496</v>
      </c>
      <c r="H7" s="715"/>
      <c r="I7" s="189"/>
      <c r="J7" s="22" t="s">
        <v>497</v>
      </c>
      <c r="K7" s="11"/>
    </row>
    <row r="8" spans="1:15" x14ac:dyDescent="0.25">
      <c r="D8" s="66"/>
      <c r="E8" s="21"/>
      <c r="F8" s="8"/>
      <c r="G8" s="66"/>
      <c r="J8" s="66"/>
      <c r="K8" s="9"/>
    </row>
    <row r="9" spans="1:15" x14ac:dyDescent="0.25">
      <c r="A9" s="136" t="s">
        <v>199</v>
      </c>
      <c r="B9" s="66"/>
      <c r="C9" s="114"/>
      <c r="D9" s="66"/>
      <c r="E9" s="66"/>
      <c r="F9" s="8"/>
      <c r="G9" s="66"/>
      <c r="J9" s="66"/>
      <c r="K9" s="9"/>
    </row>
    <row r="10" spans="1:15" x14ac:dyDescent="0.25">
      <c r="A10" s="108"/>
      <c r="B10" s="66"/>
      <c r="C10" s="114"/>
      <c r="D10" s="66"/>
      <c r="E10" s="66"/>
      <c r="F10" s="8"/>
      <c r="G10" s="66"/>
      <c r="J10" s="66"/>
      <c r="K10" s="9"/>
    </row>
    <row r="11" spans="1:15" ht="14.45" customHeight="1" x14ac:dyDescent="0.25">
      <c r="A11" s="715" t="s">
        <v>344</v>
      </c>
      <c r="B11" s="715"/>
      <c r="C11" s="22"/>
      <c r="D11" s="22"/>
      <c r="E11" s="22"/>
      <c r="F11" s="22"/>
      <c r="G11" s="22"/>
      <c r="H11" s="22"/>
      <c r="I11" s="22"/>
      <c r="J11" s="22"/>
      <c r="K11" s="9"/>
    </row>
    <row r="12" spans="1:15" ht="15.75" thickBot="1" x14ac:dyDescent="0.3">
      <c r="A12" s="114"/>
      <c r="B12" s="124"/>
      <c r="C12" s="114"/>
      <c r="D12" s="18"/>
      <c r="E12" s="107"/>
      <c r="F12" s="8"/>
      <c r="G12" s="66"/>
      <c r="J12" s="66"/>
      <c r="K12" s="9"/>
    </row>
    <row r="13" spans="1:15" ht="18" x14ac:dyDescent="0.35">
      <c r="A13" s="737" t="s">
        <v>518</v>
      </c>
      <c r="B13" s="738"/>
      <c r="C13" s="412" t="s">
        <v>124</v>
      </c>
      <c r="D13" s="410" t="s">
        <v>256</v>
      </c>
      <c r="E13" s="411" t="s">
        <v>157</v>
      </c>
      <c r="F13" s="411" t="s">
        <v>125</v>
      </c>
      <c r="G13" s="28"/>
      <c r="H13" s="191"/>
      <c r="I13" s="456" t="s">
        <v>535</v>
      </c>
      <c r="J13" s="414" t="s">
        <v>506</v>
      </c>
      <c r="K13" s="9"/>
    </row>
    <row r="14" spans="1:15" ht="14.65" customHeight="1" x14ac:dyDescent="0.25">
      <c r="A14" s="676" t="s">
        <v>527</v>
      </c>
      <c r="B14" s="461" t="s">
        <v>155</v>
      </c>
      <c r="C14" s="115"/>
      <c r="D14" s="19"/>
      <c r="E14" s="144"/>
      <c r="F14" s="10"/>
      <c r="G14" s="117"/>
      <c r="H14" s="106"/>
      <c r="I14" s="746"/>
      <c r="J14" s="921"/>
      <c r="K14" s="9"/>
    </row>
    <row r="15" spans="1:15" x14ac:dyDescent="0.25">
      <c r="A15" s="745"/>
      <c r="B15" s="461" t="s">
        <v>156</v>
      </c>
      <c r="C15" s="115"/>
      <c r="D15" s="19"/>
      <c r="E15" s="144"/>
      <c r="F15" s="10"/>
      <c r="G15" s="117"/>
      <c r="H15" s="106"/>
      <c r="I15" s="746"/>
      <c r="J15" s="921"/>
      <c r="K15" s="9"/>
    </row>
    <row r="16" spans="1:15" ht="30" x14ac:dyDescent="0.25">
      <c r="A16" s="675"/>
      <c r="B16" s="462" t="s">
        <v>528</v>
      </c>
      <c r="C16" s="115"/>
      <c r="D16" s="19"/>
      <c r="E16" s="144"/>
      <c r="F16" s="10"/>
      <c r="G16" s="117"/>
      <c r="H16" s="106"/>
      <c r="I16" s="454"/>
      <c r="J16" s="507"/>
      <c r="K16" s="415"/>
      <c r="L16" s="415"/>
      <c r="M16" s="415"/>
      <c r="N16" s="415"/>
      <c r="O16" s="415"/>
    </row>
    <row r="17" spans="1:19" ht="35.65" customHeight="1" thickBot="1" x14ac:dyDescent="0.3">
      <c r="A17" s="740" t="s">
        <v>523</v>
      </c>
      <c r="B17" s="741"/>
      <c r="C17" s="574"/>
      <c r="D17" s="742"/>
      <c r="E17" s="743"/>
      <c r="F17" s="743"/>
      <c r="G17" s="743"/>
      <c r="H17" s="743"/>
      <c r="I17" s="743"/>
      <c r="J17" s="913"/>
    </row>
    <row r="18" spans="1:19" ht="15.75" thickBot="1" x14ac:dyDescent="0.3">
      <c r="A18" s="330"/>
      <c r="B18" s="330"/>
      <c r="C18" s="407"/>
      <c r="D18" s="109"/>
      <c r="E18" s="109"/>
      <c r="F18" s="109"/>
      <c r="G18" s="109"/>
      <c r="H18" s="109"/>
      <c r="I18" s="109"/>
      <c r="J18" s="109"/>
    </row>
    <row r="19" spans="1:19" ht="35.65" customHeight="1" thickBot="1" x14ac:dyDescent="0.3">
      <c r="A19" s="914" t="s">
        <v>574</v>
      </c>
      <c r="B19" s="914"/>
      <c r="C19" s="914"/>
      <c r="D19" s="914"/>
      <c r="E19" s="362" t="s">
        <v>532</v>
      </c>
      <c r="F19" s="190"/>
      <c r="G19" s="362" t="s">
        <v>533</v>
      </c>
      <c r="H19" s="40"/>
      <c r="I19" s="133" t="s">
        <v>534</v>
      </c>
      <c r="J19" s="187"/>
      <c r="L19" s="237"/>
      <c r="M19" s="237"/>
      <c r="N19" s="237"/>
      <c r="O19" s="237"/>
    </row>
    <row r="20" spans="1:19" ht="15.75" thickBot="1" x14ac:dyDescent="0.3">
      <c r="L20" s="408"/>
      <c r="M20" s="408"/>
      <c r="N20" s="408"/>
      <c r="O20" s="408"/>
    </row>
    <row r="21" spans="1:19" ht="45.75" thickBot="1" x14ac:dyDescent="0.3">
      <c r="A21" s="362" t="s">
        <v>530</v>
      </c>
      <c r="B21" s="40"/>
      <c r="C21" s="362" t="s">
        <v>575</v>
      </c>
      <c r="D21" s="40"/>
      <c r="E21" s="362" t="s">
        <v>529</v>
      </c>
      <c r="F21" s="190"/>
      <c r="G21" s="362" t="s">
        <v>507</v>
      </c>
      <c r="H21" s="40"/>
      <c r="I21" s="133" t="s">
        <v>153</v>
      </c>
      <c r="J21" s="187"/>
    </row>
    <row r="23" spans="1:19" x14ac:dyDescent="0.25">
      <c r="A23" s="760" t="s">
        <v>343</v>
      </c>
      <c r="B23" s="760"/>
      <c r="C23" s="760"/>
    </row>
    <row r="24" spans="1:19" ht="15.75" thickBot="1" x14ac:dyDescent="0.3"/>
    <row r="25" spans="1:19" ht="33" thickBot="1" x14ac:dyDescent="0.3">
      <c r="A25" s="128" t="s">
        <v>258</v>
      </c>
      <c r="B25" s="883"/>
      <c r="C25" s="885"/>
      <c r="D25" s="1"/>
      <c r="E25" s="128" t="s">
        <v>200</v>
      </c>
      <c r="F25" s="883"/>
      <c r="G25" s="885"/>
      <c r="H25" s="128" t="s">
        <v>151</v>
      </c>
      <c r="I25" s="606"/>
      <c r="J25" s="608"/>
    </row>
    <row r="26" spans="1:19" ht="15.75" thickBot="1" x14ac:dyDescent="0.3">
      <c r="A26" s="128"/>
      <c r="B26" s="241"/>
      <c r="C26" s="241"/>
      <c r="D26" s="1"/>
      <c r="E26" s="128"/>
      <c r="F26" s="241"/>
      <c r="G26" s="241"/>
      <c r="H26" s="128"/>
      <c r="I26" s="105"/>
      <c r="J26" s="105"/>
    </row>
    <row r="27" spans="1:19" ht="30.75" thickBot="1" x14ac:dyDescent="0.3">
      <c r="A27" s="249" t="s">
        <v>174</v>
      </c>
      <c r="B27" s="917"/>
      <c r="C27" s="918"/>
      <c r="D27" s="1"/>
      <c r="E27" s="616" t="s">
        <v>419</v>
      </c>
      <c r="F27" s="616"/>
      <c r="G27" s="883"/>
      <c r="H27" s="885"/>
      <c r="I27" s="105"/>
      <c r="J27" s="105"/>
    </row>
    <row r="28" spans="1:19" x14ac:dyDescent="0.25">
      <c r="A28" s="250"/>
      <c r="B28" s="250"/>
      <c r="C28" s="241"/>
      <c r="D28" s="1"/>
      <c r="E28" s="128"/>
      <c r="F28" s="241"/>
      <c r="G28" s="241"/>
      <c r="H28" s="128"/>
      <c r="I28" s="105"/>
      <c r="J28" s="105"/>
    </row>
    <row r="29" spans="1:19" ht="15.75" thickBot="1" x14ac:dyDescent="0.3"/>
    <row r="30" spans="1:19" ht="18.75" thickBot="1" x14ac:dyDescent="0.4">
      <c r="A30" s="681" t="s">
        <v>518</v>
      </c>
      <c r="B30" s="679"/>
      <c r="C30" s="412" t="s">
        <v>124</v>
      </c>
      <c r="D30" s="410" t="s">
        <v>256</v>
      </c>
      <c r="E30" s="411" t="s">
        <v>531</v>
      </c>
      <c r="F30" s="411" t="s">
        <v>125</v>
      </c>
      <c r="G30" s="413" t="s">
        <v>420</v>
      </c>
      <c r="H30" s="413" t="s">
        <v>38</v>
      </c>
      <c r="I30" s="413" t="s">
        <v>421</v>
      </c>
      <c r="J30" s="413" t="s">
        <v>422</v>
      </c>
      <c r="K30" s="558" t="s">
        <v>423</v>
      </c>
      <c r="L30" s="456" t="s">
        <v>535</v>
      </c>
      <c r="M30" s="414" t="s">
        <v>201</v>
      </c>
    </row>
    <row r="31" spans="1:19" ht="48" customHeight="1" thickBot="1" x14ac:dyDescent="0.3">
      <c r="A31" s="392" t="s">
        <v>527</v>
      </c>
      <c r="B31" s="393" t="s">
        <v>471</v>
      </c>
      <c r="C31" s="575"/>
      <c r="D31" s="376"/>
      <c r="E31" s="372"/>
      <c r="F31" s="373"/>
      <c r="G31" s="374"/>
      <c r="H31" s="374"/>
      <c r="I31" s="374"/>
      <c r="J31" s="374"/>
      <c r="K31" s="375"/>
      <c r="L31" s="375"/>
      <c r="M31" s="371"/>
    </row>
    <row r="32" spans="1:19" ht="48.4" customHeight="1" thickBot="1" x14ac:dyDescent="0.3">
      <c r="A32" s="897" t="s">
        <v>492</v>
      </c>
      <c r="B32" s="898"/>
      <c r="C32" s="576"/>
      <c r="D32" s="457"/>
      <c r="E32" s="377"/>
      <c r="F32" s="378"/>
      <c r="G32" s="378"/>
      <c r="H32" s="378"/>
      <c r="I32" s="378"/>
      <c r="J32" s="378"/>
      <c r="K32" s="378"/>
      <c r="L32" s="379"/>
      <c r="M32" s="380"/>
      <c r="N32" s="460"/>
      <c r="O32" s="1"/>
      <c r="P32" s="1"/>
      <c r="Q32" s="1"/>
      <c r="R32" s="1"/>
      <c r="S32" s="1"/>
    </row>
    <row r="33" spans="1:19" ht="15.75" thickBot="1" x14ac:dyDescent="0.3">
      <c r="A33" s="362"/>
      <c r="B33" s="362"/>
      <c r="C33" s="114"/>
      <c r="D33" s="114"/>
      <c r="E33" s="409"/>
      <c r="F33" s="409"/>
      <c r="G33" s="409"/>
      <c r="H33" s="409"/>
      <c r="I33" s="409"/>
      <c r="J33" s="409"/>
    </row>
    <row r="34" spans="1:19" ht="33.4" customHeight="1" thickBot="1" x14ac:dyDescent="0.3">
      <c r="A34" s="914" t="s">
        <v>536</v>
      </c>
      <c r="B34" s="914"/>
      <c r="C34" s="914"/>
      <c r="D34" s="914"/>
      <c r="E34" s="133" t="s">
        <v>531</v>
      </c>
      <c r="F34" s="190"/>
      <c r="G34" s="133" t="s">
        <v>157</v>
      </c>
      <c r="H34" s="40"/>
      <c r="I34" s="409"/>
      <c r="J34" s="415"/>
      <c r="K34" s="415"/>
      <c r="L34" s="415"/>
      <c r="M34" s="415"/>
      <c r="N34" s="415"/>
      <c r="O34" s="415"/>
      <c r="P34" s="415"/>
      <c r="Q34" s="415"/>
      <c r="R34" s="415"/>
      <c r="S34" s="415"/>
    </row>
    <row r="35" spans="1:19" ht="29.45" customHeight="1" thickBot="1" x14ac:dyDescent="0.3">
      <c r="A35" s="22"/>
      <c r="B35" s="21"/>
      <c r="C35" s="114"/>
      <c r="D35" s="18"/>
      <c r="E35" s="107"/>
      <c r="F35" s="8"/>
      <c r="G35" s="66"/>
      <c r="J35" s="415"/>
      <c r="K35" s="415"/>
      <c r="L35" s="415"/>
      <c r="M35" s="415"/>
      <c r="N35" s="415"/>
      <c r="O35" s="415"/>
      <c r="P35" s="415"/>
      <c r="Q35" s="415"/>
      <c r="R35" s="415"/>
      <c r="S35" s="415"/>
    </row>
    <row r="36" spans="1:19" ht="45.75" thickBot="1" x14ac:dyDescent="0.3">
      <c r="B36" s="362" t="s">
        <v>537</v>
      </c>
      <c r="C36" s="40"/>
      <c r="D36" s="362" t="s">
        <v>529</v>
      </c>
      <c r="E36" s="190"/>
      <c r="F36" s="362" t="s">
        <v>507</v>
      </c>
      <c r="G36" s="40"/>
      <c r="H36" s="133" t="s">
        <v>153</v>
      </c>
      <c r="I36" s="187"/>
      <c r="K36" s="108"/>
      <c r="L36" s="108"/>
      <c r="M36" s="108"/>
      <c r="N36" s="108"/>
      <c r="O36" s="108"/>
    </row>
    <row r="38" spans="1:19" x14ac:dyDescent="0.25">
      <c r="F38" s="4"/>
      <c r="G38" s="4"/>
    </row>
    <row r="39" spans="1:19" x14ac:dyDescent="0.25">
      <c r="A39" s="760" t="s">
        <v>576</v>
      </c>
      <c r="B39" s="760"/>
      <c r="C39" s="1"/>
    </row>
    <row r="40" spans="1:19" ht="15.75" thickBot="1" x14ac:dyDescent="0.3">
      <c r="A40" s="251"/>
      <c r="B40" s="251"/>
      <c r="C40" s="251"/>
    </row>
    <row r="41" spans="1:19" ht="29.45" customHeight="1" thickBot="1" x14ac:dyDescent="0.3">
      <c r="A41" s="681" t="s">
        <v>154</v>
      </c>
      <c r="B41" s="679"/>
      <c r="C41" s="578" t="s">
        <v>508</v>
      </c>
      <c r="D41" s="410" t="s">
        <v>511</v>
      </c>
      <c r="E41" s="411" t="s">
        <v>512</v>
      </c>
      <c r="F41" s="411" t="s">
        <v>509</v>
      </c>
      <c r="G41" s="411" t="s">
        <v>510</v>
      </c>
      <c r="H41" s="411" t="s">
        <v>513</v>
      </c>
      <c r="I41" s="410" t="s">
        <v>514</v>
      </c>
      <c r="J41" s="410" t="s">
        <v>515</v>
      </c>
      <c r="K41" s="410" t="s">
        <v>516</v>
      </c>
      <c r="L41" s="510" t="s">
        <v>517</v>
      </c>
      <c r="M41" s="511" t="s">
        <v>599</v>
      </c>
    </row>
    <row r="42" spans="1:19" x14ac:dyDescent="0.25">
      <c r="A42" s="681" t="s">
        <v>493</v>
      </c>
      <c r="B42" s="679"/>
      <c r="C42" s="575"/>
      <c r="D42" s="376"/>
      <c r="E42" s="372"/>
      <c r="F42" s="373"/>
      <c r="G42" s="374"/>
      <c r="H42" s="374"/>
      <c r="I42" s="374"/>
      <c r="J42" s="374"/>
      <c r="K42" s="375"/>
      <c r="L42" s="375"/>
      <c r="M42" s="509"/>
    </row>
    <row r="43" spans="1:19" ht="15.75" thickBot="1" x14ac:dyDescent="0.3">
      <c r="A43" s="922" t="s">
        <v>538</v>
      </c>
      <c r="B43" s="923"/>
      <c r="C43" s="577"/>
      <c r="D43" s="508"/>
      <c r="E43" s="508"/>
      <c r="F43" s="508"/>
      <c r="G43" s="508"/>
      <c r="H43" s="508"/>
      <c r="I43" s="508"/>
      <c r="J43" s="508"/>
      <c r="K43" s="508"/>
      <c r="L43" s="508"/>
      <c r="M43" s="508"/>
      <c r="N43" s="468"/>
      <c r="O43" s="237"/>
    </row>
    <row r="44" spans="1:19" x14ac:dyDescent="0.25">
      <c r="A44" s="21"/>
      <c r="B44" s="21"/>
      <c r="C44" s="114"/>
      <c r="D44" s="18"/>
      <c r="E44" s="107"/>
      <c r="F44" s="8"/>
      <c r="G44" s="66"/>
      <c r="H44" s="66"/>
      <c r="I44" s="66"/>
      <c r="J44" s="66"/>
    </row>
    <row r="45" spans="1:19" ht="15.75" thickBot="1" x14ac:dyDescent="0.3">
      <c r="A45" s="251"/>
      <c r="B45" s="251"/>
      <c r="C45" s="251"/>
    </row>
    <row r="46" spans="1:19" ht="60.75" thickBot="1" x14ac:dyDescent="0.3">
      <c r="A46" s="251"/>
      <c r="B46" s="362" t="s">
        <v>539</v>
      </c>
      <c r="C46" s="40"/>
      <c r="D46" s="362" t="s">
        <v>529</v>
      </c>
      <c r="E46" s="190"/>
      <c r="F46" s="362" t="s">
        <v>507</v>
      </c>
      <c r="G46" s="40"/>
      <c r="H46" s="133" t="s">
        <v>153</v>
      </c>
      <c r="I46" s="187"/>
      <c r="K46" s="108"/>
      <c r="L46" s="108"/>
      <c r="M46" s="108"/>
      <c r="N46" s="108"/>
      <c r="O46" s="108"/>
    </row>
    <row r="47" spans="1:19" x14ac:dyDescent="0.25">
      <c r="A47" s="251"/>
      <c r="B47" s="362"/>
      <c r="D47" s="362"/>
      <c r="E47" s="114"/>
      <c r="F47" s="362"/>
      <c r="H47" s="133"/>
      <c r="I47" s="107"/>
    </row>
    <row r="48" spans="1:19" x14ac:dyDescent="0.25">
      <c r="A48" s="251"/>
      <c r="B48" s="362"/>
      <c r="D48" s="362"/>
      <c r="E48" s="114"/>
      <c r="F48" s="362"/>
      <c r="H48" s="133"/>
      <c r="I48" s="107"/>
    </row>
    <row r="49" spans="1:9" x14ac:dyDescent="0.25">
      <c r="A49" s="251"/>
      <c r="B49" s="362"/>
      <c r="D49" s="362"/>
      <c r="E49" s="114"/>
      <c r="F49" s="362"/>
      <c r="H49" s="133"/>
      <c r="I49" s="107"/>
    </row>
    <row r="50" spans="1:9" x14ac:dyDescent="0.25">
      <c r="A50" s="251"/>
      <c r="B50" s="362"/>
      <c r="D50" s="362"/>
      <c r="E50" s="114"/>
      <c r="F50" s="362"/>
      <c r="H50" s="133"/>
      <c r="I50" s="107"/>
    </row>
    <row r="51" spans="1:9" x14ac:dyDescent="0.25">
      <c r="A51" s="251"/>
      <c r="B51" s="362"/>
      <c r="D51" s="362"/>
      <c r="E51" s="114"/>
      <c r="F51" s="362"/>
      <c r="H51" s="133"/>
      <c r="I51" s="107"/>
    </row>
    <row r="52" spans="1:9" x14ac:dyDescent="0.25">
      <c r="A52" s="251"/>
      <c r="B52" s="362"/>
      <c r="D52" s="362"/>
      <c r="E52" s="114"/>
      <c r="F52" s="362"/>
      <c r="H52" s="133"/>
      <c r="I52" s="107"/>
    </row>
    <row r="53" spans="1:9" x14ac:dyDescent="0.25">
      <c r="A53" s="251"/>
      <c r="B53" s="362"/>
      <c r="D53" s="362"/>
      <c r="E53" s="114"/>
      <c r="F53" s="362"/>
      <c r="H53" s="133"/>
      <c r="I53" s="107"/>
    </row>
    <row r="54" spans="1:9" x14ac:dyDescent="0.25">
      <c r="A54" s="251"/>
      <c r="B54" s="362"/>
      <c r="D54" s="362"/>
      <c r="E54" s="114"/>
      <c r="F54" s="362"/>
      <c r="H54" s="133"/>
      <c r="I54" s="107"/>
    </row>
    <row r="55" spans="1:9" x14ac:dyDescent="0.25">
      <c r="A55" s="251"/>
      <c r="B55" s="362"/>
      <c r="D55" s="362"/>
      <c r="E55" s="114"/>
      <c r="F55" s="362"/>
      <c r="H55" s="133"/>
      <c r="I55" s="107"/>
    </row>
    <row r="56" spans="1:9" x14ac:dyDescent="0.25">
      <c r="A56" s="251"/>
      <c r="B56" s="362"/>
      <c r="D56" s="362"/>
      <c r="E56" s="114"/>
      <c r="F56" s="362"/>
      <c r="H56" s="133"/>
      <c r="I56" s="107"/>
    </row>
    <row r="57" spans="1:9" x14ac:dyDescent="0.25">
      <c r="A57" s="251"/>
      <c r="B57" s="362"/>
      <c r="D57" s="362"/>
      <c r="E57" s="114"/>
      <c r="F57" s="362"/>
      <c r="H57" s="133"/>
      <c r="I57" s="107"/>
    </row>
    <row r="58" spans="1:9" x14ac:dyDescent="0.25">
      <c r="A58" s="251"/>
      <c r="B58" s="362"/>
      <c r="D58" s="362"/>
      <c r="E58" s="114"/>
      <c r="F58" s="362"/>
      <c r="H58" s="133"/>
      <c r="I58" s="107"/>
    </row>
    <row r="59" spans="1:9" x14ac:dyDescent="0.25">
      <c r="A59" s="251"/>
      <c r="B59" s="362"/>
      <c r="D59" s="362"/>
      <c r="E59" s="114"/>
      <c r="F59" s="362"/>
      <c r="H59" s="133"/>
      <c r="I59" s="107"/>
    </row>
    <row r="60" spans="1:9" x14ac:dyDescent="0.25">
      <c r="A60" s="251"/>
      <c r="B60" s="362"/>
      <c r="D60" s="362"/>
      <c r="E60" s="114"/>
      <c r="F60" s="362"/>
      <c r="H60" s="133"/>
      <c r="I60" s="107"/>
    </row>
    <row r="61" spans="1:9" x14ac:dyDescent="0.25">
      <c r="A61" s="251"/>
      <c r="B61" s="362"/>
      <c r="D61" s="362"/>
      <c r="E61" s="114"/>
      <c r="F61" s="362"/>
      <c r="H61" s="133"/>
      <c r="I61" s="107"/>
    </row>
    <row r="62" spans="1:9" x14ac:dyDescent="0.25">
      <c r="A62" s="251"/>
      <c r="B62" s="362"/>
      <c r="D62" s="362"/>
      <c r="E62" s="114"/>
      <c r="F62" s="362"/>
      <c r="H62" s="133"/>
      <c r="I62" s="107"/>
    </row>
    <row r="63" spans="1:9" x14ac:dyDescent="0.25">
      <c r="A63" s="251"/>
      <c r="B63" s="362"/>
      <c r="D63" s="362"/>
      <c r="E63" s="114"/>
      <c r="F63" s="362"/>
      <c r="H63" s="133"/>
      <c r="I63" s="107"/>
    </row>
    <row r="64" spans="1:9" x14ac:dyDescent="0.25">
      <c r="A64" s="251"/>
      <c r="B64" s="362"/>
      <c r="D64" s="362"/>
      <c r="E64" s="114"/>
      <c r="F64" s="362"/>
      <c r="H64" s="133"/>
      <c r="I64" s="107"/>
    </row>
    <row r="65" spans="1:9" x14ac:dyDescent="0.25">
      <c r="A65" s="251"/>
      <c r="B65" s="362"/>
      <c r="D65" s="362"/>
      <c r="E65" s="114"/>
      <c r="F65" s="362"/>
      <c r="H65" s="133"/>
      <c r="I65" s="107"/>
    </row>
    <row r="66" spans="1:9" x14ac:dyDescent="0.25">
      <c r="A66" s="251"/>
      <c r="B66" s="362"/>
      <c r="D66" s="362"/>
      <c r="E66" s="114"/>
      <c r="F66" s="362"/>
      <c r="H66" s="133"/>
      <c r="I66" s="107"/>
    </row>
    <row r="67" spans="1:9" x14ac:dyDescent="0.25">
      <c r="A67" s="251"/>
      <c r="B67" s="362"/>
      <c r="D67" s="362"/>
      <c r="E67" s="114"/>
      <c r="F67" s="362"/>
      <c r="H67" s="133"/>
      <c r="I67" s="107"/>
    </row>
    <row r="68" spans="1:9" x14ac:dyDescent="0.25">
      <c r="A68" s="251"/>
      <c r="B68" s="362"/>
      <c r="D68" s="362"/>
      <c r="E68" s="114"/>
      <c r="F68" s="362"/>
      <c r="H68" s="133"/>
      <c r="I68" s="107"/>
    </row>
    <row r="69" spans="1:9" x14ac:dyDescent="0.25">
      <c r="A69" s="251"/>
      <c r="B69" s="362"/>
      <c r="D69" s="362"/>
      <c r="E69" s="114"/>
      <c r="F69" s="362"/>
      <c r="H69" s="133"/>
      <c r="I69" s="107"/>
    </row>
    <row r="70" spans="1:9" x14ac:dyDescent="0.25">
      <c r="A70" s="251"/>
      <c r="B70" s="362"/>
      <c r="D70" s="362"/>
      <c r="E70" s="114"/>
      <c r="F70" s="362"/>
      <c r="H70" s="133"/>
      <c r="I70" s="107"/>
    </row>
    <row r="71" spans="1:9" x14ac:dyDescent="0.25">
      <c r="A71" s="251"/>
      <c r="B71" s="362"/>
      <c r="D71" s="362"/>
      <c r="E71" s="114"/>
      <c r="F71" s="362"/>
      <c r="H71" s="133"/>
      <c r="I71" s="107"/>
    </row>
    <row r="72" spans="1:9" x14ac:dyDescent="0.25">
      <c r="A72" s="251"/>
      <c r="B72" s="362"/>
      <c r="D72" s="362"/>
      <c r="E72" s="114"/>
      <c r="F72" s="362"/>
      <c r="H72" s="133"/>
      <c r="I72" s="107"/>
    </row>
    <row r="73" spans="1:9" x14ac:dyDescent="0.25">
      <c r="A73" s="251"/>
      <c r="B73" s="362"/>
      <c r="D73" s="362"/>
      <c r="E73" s="114"/>
      <c r="F73" s="362"/>
      <c r="H73" s="133"/>
      <c r="I73" s="107"/>
    </row>
    <row r="74" spans="1:9" x14ac:dyDescent="0.25">
      <c r="A74" s="251"/>
      <c r="B74" s="362"/>
      <c r="D74" s="362"/>
      <c r="E74" s="114"/>
      <c r="F74" s="362"/>
      <c r="H74" s="133"/>
      <c r="I74" s="107"/>
    </row>
    <row r="75" spans="1:9" x14ac:dyDescent="0.25">
      <c r="A75" s="251"/>
      <c r="B75" s="362"/>
      <c r="D75" s="362"/>
      <c r="E75" s="114"/>
      <c r="F75" s="362"/>
      <c r="H75" s="133"/>
      <c r="I75" s="107"/>
    </row>
    <row r="76" spans="1:9" x14ac:dyDescent="0.25">
      <c r="A76" s="251"/>
      <c r="B76" s="362"/>
      <c r="D76" s="362"/>
      <c r="E76" s="114"/>
      <c r="F76" s="362"/>
      <c r="H76" s="133"/>
      <c r="I76" s="107"/>
    </row>
    <row r="77" spans="1:9" x14ac:dyDescent="0.25">
      <c r="A77" s="251"/>
      <c r="B77" s="362"/>
      <c r="D77" s="362"/>
      <c r="E77" s="114"/>
      <c r="F77" s="362"/>
      <c r="H77" s="133"/>
      <c r="I77" s="107"/>
    </row>
    <row r="78" spans="1:9" x14ac:dyDescent="0.25">
      <c r="A78" s="251"/>
      <c r="B78" s="362"/>
      <c r="D78" s="362"/>
      <c r="E78" s="114"/>
      <c r="F78" s="362"/>
      <c r="H78" s="133"/>
      <c r="I78" s="107"/>
    </row>
    <row r="79" spans="1:9" x14ac:dyDescent="0.25">
      <c r="A79" s="251"/>
      <c r="B79" s="362"/>
      <c r="D79" s="362"/>
      <c r="E79" s="114"/>
      <c r="F79" s="362"/>
      <c r="H79" s="133"/>
      <c r="I79" s="107"/>
    </row>
    <row r="80" spans="1:9" x14ac:dyDescent="0.25">
      <c r="A80" s="760" t="s">
        <v>500</v>
      </c>
      <c r="B80" s="760"/>
      <c r="C80" s="760"/>
    </row>
    <row r="81" spans="1:13" ht="15.75" thickBot="1" x14ac:dyDescent="0.3">
      <c r="K81" s="385"/>
      <c r="L81" s="385"/>
      <c r="M81" s="385"/>
    </row>
    <row r="82" spans="1:13" ht="53.45" customHeight="1" thickBot="1" x14ac:dyDescent="0.3">
      <c r="A82" s="639" t="s">
        <v>410</v>
      </c>
      <c r="B82" s="639" t="s">
        <v>407</v>
      </c>
      <c r="C82" s="673" t="s">
        <v>598</v>
      </c>
      <c r="D82" s="926"/>
      <c r="E82" s="674"/>
      <c r="F82" s="277"/>
      <c r="G82" s="415"/>
      <c r="H82" s="415"/>
      <c r="I82" s="415"/>
      <c r="J82" s="415"/>
      <c r="K82" s="385"/>
      <c r="L82" s="385"/>
      <c r="M82" s="385"/>
    </row>
    <row r="83" spans="1:13" ht="18.75" thickBot="1" x14ac:dyDescent="0.3">
      <c r="A83" s="641"/>
      <c r="B83" s="641"/>
      <c r="C83" s="394" t="s">
        <v>124</v>
      </c>
      <c r="D83" s="395" t="s">
        <v>416</v>
      </c>
      <c r="E83" s="396" t="s">
        <v>417</v>
      </c>
      <c r="G83" s="385"/>
      <c r="H83" s="385"/>
      <c r="I83" s="385"/>
      <c r="J83" s="385"/>
      <c r="K83" s="385"/>
      <c r="L83" s="385"/>
      <c r="M83" s="385"/>
    </row>
    <row r="84" spans="1:13" x14ac:dyDescent="0.25">
      <c r="A84" s="924" t="s">
        <v>411</v>
      </c>
      <c r="B84" s="365"/>
      <c r="C84" s="278"/>
      <c r="D84" s="279"/>
      <c r="E84" s="280"/>
      <c r="G84" s="385"/>
      <c r="H84" s="385"/>
      <c r="I84" s="385"/>
      <c r="J84" s="385"/>
      <c r="K84" s="385"/>
      <c r="L84" s="385"/>
      <c r="M84" s="385"/>
    </row>
    <row r="85" spans="1:13" x14ac:dyDescent="0.25">
      <c r="A85" s="924"/>
      <c r="B85" s="366"/>
      <c r="C85" s="273"/>
      <c r="D85" s="274"/>
      <c r="E85" s="281"/>
      <c r="G85" s="385"/>
      <c r="H85" s="385"/>
      <c r="I85" s="385"/>
      <c r="J85" s="385"/>
    </row>
    <row r="86" spans="1:13" x14ac:dyDescent="0.25">
      <c r="A86" s="924"/>
      <c r="B86" s="366"/>
      <c r="C86" s="273"/>
      <c r="D86" s="274"/>
      <c r="E86" s="281"/>
    </row>
    <row r="87" spans="1:13" x14ac:dyDescent="0.25">
      <c r="A87" s="924"/>
      <c r="B87" s="366"/>
      <c r="C87" s="273"/>
      <c r="D87" s="274"/>
      <c r="E87" s="281"/>
    </row>
    <row r="88" spans="1:13" x14ac:dyDescent="0.25">
      <c r="A88" s="924"/>
      <c r="B88" s="366"/>
      <c r="C88" s="273"/>
      <c r="D88" s="274"/>
      <c r="E88" s="281"/>
    </row>
    <row r="89" spans="1:13" ht="15.75" thickBot="1" x14ac:dyDescent="0.3">
      <c r="A89" s="925"/>
      <c r="B89" s="367"/>
      <c r="C89" s="283"/>
      <c r="D89" s="284"/>
      <c r="E89" s="285"/>
    </row>
    <row r="90" spans="1:13" x14ac:dyDescent="0.25">
      <c r="A90" s="927" t="s">
        <v>412</v>
      </c>
      <c r="B90" s="365"/>
      <c r="C90" s="278"/>
      <c r="D90" s="279"/>
      <c r="E90" s="280"/>
    </row>
    <row r="91" spans="1:13" x14ac:dyDescent="0.25">
      <c r="A91" s="928"/>
      <c r="B91" s="366"/>
      <c r="C91" s="273"/>
      <c r="D91" s="274"/>
      <c r="E91" s="281"/>
    </row>
    <row r="92" spans="1:13" x14ac:dyDescent="0.25">
      <c r="A92" s="928"/>
      <c r="B92" s="366"/>
      <c r="C92" s="273"/>
      <c r="D92" s="274"/>
      <c r="E92" s="281"/>
    </row>
    <row r="93" spans="1:13" x14ac:dyDescent="0.25">
      <c r="A93" s="928"/>
      <c r="B93" s="366"/>
      <c r="C93" s="273"/>
      <c r="D93" s="274"/>
      <c r="E93" s="281"/>
    </row>
    <row r="94" spans="1:13" x14ac:dyDescent="0.25">
      <c r="A94" s="928"/>
      <c r="B94" s="366"/>
      <c r="C94" s="273"/>
      <c r="D94" s="274"/>
      <c r="E94" s="281"/>
    </row>
    <row r="95" spans="1:13" ht="15.75" thickBot="1" x14ac:dyDescent="0.3">
      <c r="A95" s="929"/>
      <c r="B95" s="367"/>
      <c r="C95" s="283"/>
      <c r="D95" s="284"/>
      <c r="E95" s="285"/>
    </row>
    <row r="96" spans="1:13" ht="45" x14ac:dyDescent="0.25">
      <c r="A96" s="401" t="s">
        <v>413</v>
      </c>
      <c r="B96" s="402"/>
      <c r="C96" s="278"/>
      <c r="D96" s="279"/>
      <c r="E96" s="280"/>
    </row>
    <row r="97" spans="1:10" ht="120" x14ac:dyDescent="0.25">
      <c r="A97" s="397" t="s">
        <v>414</v>
      </c>
      <c r="B97" s="382"/>
      <c r="C97" s="275"/>
      <c r="D97" s="276"/>
      <c r="E97" s="282"/>
    </row>
    <row r="98" spans="1:10" ht="60.75" thickBot="1" x14ac:dyDescent="0.3">
      <c r="A98" s="403" t="s">
        <v>415</v>
      </c>
      <c r="B98" s="404"/>
      <c r="C98" s="283"/>
      <c r="D98" s="283"/>
      <c r="E98" s="405"/>
    </row>
    <row r="99" spans="1:10" ht="45" x14ac:dyDescent="0.25">
      <c r="A99" s="399" t="s">
        <v>498</v>
      </c>
      <c r="B99" s="381"/>
      <c r="C99" s="272"/>
      <c r="D99" s="272"/>
      <c r="E99" s="400"/>
    </row>
    <row r="100" spans="1:10" ht="69" customHeight="1" x14ac:dyDescent="0.25">
      <c r="A100" s="398" t="s">
        <v>499</v>
      </c>
      <c r="B100" s="383"/>
      <c r="C100" s="273"/>
      <c r="D100" s="273"/>
      <c r="E100" s="364"/>
    </row>
    <row r="101" spans="1:10" ht="33.4" customHeight="1" thickBot="1" x14ac:dyDescent="0.3">
      <c r="A101" s="442"/>
      <c r="B101" s="384"/>
      <c r="C101" s="368"/>
      <c r="D101" s="368"/>
      <c r="E101" s="369"/>
    </row>
    <row r="102" spans="1:10" x14ac:dyDescent="0.25">
      <c r="A102" s="21"/>
      <c r="B102" s="21"/>
      <c r="C102" s="114"/>
      <c r="D102" s="18"/>
      <c r="E102" s="107"/>
      <c r="F102" s="8"/>
      <c r="G102" s="66"/>
      <c r="J102" s="66"/>
    </row>
    <row r="103" spans="1:10" ht="15.75" thickBot="1" x14ac:dyDescent="0.3">
      <c r="A103" s="21"/>
      <c r="B103" s="21"/>
      <c r="C103" s="114"/>
      <c r="D103" s="18"/>
      <c r="E103" s="107"/>
      <c r="F103" s="8"/>
      <c r="G103" s="66"/>
      <c r="J103" s="66"/>
    </row>
    <row r="104" spans="1:10" ht="15.75" thickBot="1" x14ac:dyDescent="0.3">
      <c r="A104" s="763" t="s">
        <v>202</v>
      </c>
      <c r="B104" s="763"/>
      <c r="C104" s="192"/>
      <c r="D104" s="762" t="s">
        <v>203</v>
      </c>
      <c r="E104" s="763"/>
      <c r="F104" s="763"/>
      <c r="G104" s="883"/>
      <c r="H104" s="884"/>
      <c r="I104" s="884"/>
      <c r="J104" s="885"/>
    </row>
    <row r="105" spans="1:10" ht="15.75" thickBot="1" x14ac:dyDescent="0.3">
      <c r="A105" s="1"/>
      <c r="B105" s="1"/>
      <c r="C105" s="1"/>
      <c r="D105" s="1"/>
      <c r="E105" s="1"/>
      <c r="F105" s="1"/>
      <c r="G105" s="1"/>
      <c r="H105" s="1"/>
      <c r="I105" s="1"/>
      <c r="J105" s="1"/>
    </row>
    <row r="106" spans="1:10" ht="15.75" thickBot="1" x14ac:dyDescent="0.3">
      <c r="A106" s="193"/>
      <c r="B106" s="1"/>
      <c r="C106" s="192"/>
      <c r="D106" s="891" t="s">
        <v>204</v>
      </c>
      <c r="E106" s="760"/>
      <c r="F106" s="883"/>
      <c r="G106" s="885"/>
      <c r="H106" s="1"/>
      <c r="I106" s="1"/>
      <c r="J106" s="1"/>
    </row>
    <row r="107" spans="1:10" x14ac:dyDescent="0.25">
      <c r="A107" s="193"/>
      <c r="B107" s="1"/>
      <c r="C107" s="1"/>
      <c r="D107" s="251"/>
      <c r="E107" s="251"/>
      <c r="F107" s="241"/>
      <c r="G107" s="241"/>
      <c r="H107" s="1"/>
      <c r="I107" s="1"/>
      <c r="J107" s="1"/>
    </row>
    <row r="109" spans="1:10" ht="22.35" customHeight="1" x14ac:dyDescent="0.25">
      <c r="A109" s="766" t="s">
        <v>618</v>
      </c>
      <c r="B109" s="766"/>
      <c r="C109" s="766"/>
    </row>
    <row r="110" spans="1:10" ht="15.75" thickBot="1" x14ac:dyDescent="0.3"/>
    <row r="111" spans="1:10" x14ac:dyDescent="0.25">
      <c r="A111" s="750" t="s">
        <v>205</v>
      </c>
      <c r="B111" s="901" t="s">
        <v>207</v>
      </c>
      <c r="C111" s="902"/>
      <c r="D111" s="902" t="s">
        <v>206</v>
      </c>
      <c r="E111" s="910"/>
    </row>
    <row r="112" spans="1:10" ht="15.75" thickBot="1" x14ac:dyDescent="0.3">
      <c r="A112" s="903"/>
      <c r="B112" s="904"/>
      <c r="C112" s="905"/>
      <c r="D112" s="905"/>
      <c r="E112" s="911"/>
    </row>
    <row r="113" spans="1:13" ht="15.75" thickBot="1" x14ac:dyDescent="0.3"/>
    <row r="114" spans="1:13" ht="63.75" x14ac:dyDescent="0.25">
      <c r="A114" s="596" t="s">
        <v>612</v>
      </c>
      <c r="B114" s="597" t="s">
        <v>613</v>
      </c>
      <c r="C114" s="597" t="s">
        <v>614</v>
      </c>
      <c r="D114" s="597" t="s">
        <v>615</v>
      </c>
      <c r="E114" s="597" t="s">
        <v>616</v>
      </c>
      <c r="F114" s="598" t="s">
        <v>617</v>
      </c>
    </row>
    <row r="115" spans="1:13" ht="15.75" thickBot="1" x14ac:dyDescent="0.3">
      <c r="A115" s="599"/>
      <c r="B115" s="600"/>
      <c r="C115" s="601">
        <f>(A115*B115)/100</f>
        <v>0</v>
      </c>
      <c r="D115" s="602"/>
      <c r="E115" s="600"/>
      <c r="F115" s="603">
        <f>(C115*E115)</f>
        <v>0</v>
      </c>
    </row>
    <row r="117" spans="1:13" ht="15.75" thickBot="1" x14ac:dyDescent="0.3">
      <c r="A117" s="1"/>
    </row>
    <row r="118" spans="1:13" ht="15.75" thickBot="1" x14ac:dyDescent="0.3">
      <c r="A118" s="763" t="s">
        <v>202</v>
      </c>
      <c r="B118" s="763"/>
      <c r="C118" s="192"/>
      <c r="D118" s="762" t="s">
        <v>203</v>
      </c>
      <c r="E118" s="763"/>
      <c r="F118" s="763"/>
      <c r="G118" s="883"/>
      <c r="H118" s="884"/>
      <c r="I118" s="884"/>
      <c r="J118" s="885"/>
    </row>
    <row r="119" spans="1:13" ht="15.75" thickBot="1" x14ac:dyDescent="0.3">
      <c r="A119" s="1"/>
      <c r="B119" s="1"/>
      <c r="C119" s="1"/>
      <c r="D119" s="1"/>
      <c r="E119" s="1"/>
      <c r="F119" s="1"/>
      <c r="G119" s="1"/>
      <c r="H119" s="1"/>
      <c r="I119" s="1"/>
      <c r="J119" s="1"/>
    </row>
    <row r="120" spans="1:13" ht="30.75" thickBot="1" x14ac:dyDescent="0.3">
      <c r="A120" s="193"/>
      <c r="B120" s="1"/>
      <c r="C120" s="192"/>
      <c r="D120" s="891" t="s">
        <v>204</v>
      </c>
      <c r="E120" s="760"/>
      <c r="F120" s="883"/>
      <c r="G120" s="885"/>
      <c r="H120" s="1"/>
      <c r="I120" s="133" t="s">
        <v>153</v>
      </c>
      <c r="J120" s="187"/>
    </row>
    <row r="121" spans="1:13" x14ac:dyDescent="0.25">
      <c r="A121" s="193"/>
      <c r="B121" s="1"/>
      <c r="C121" s="1"/>
      <c r="D121" s="251"/>
      <c r="E121" s="251"/>
      <c r="F121" s="241"/>
      <c r="G121" s="241"/>
      <c r="H121" s="1"/>
      <c r="I121" s="1"/>
      <c r="J121" s="1"/>
    </row>
    <row r="122" spans="1:13" x14ac:dyDescent="0.25">
      <c r="A122" s="193"/>
      <c r="B122" s="1"/>
      <c r="C122" s="1"/>
      <c r="D122" s="251"/>
      <c r="E122" s="251"/>
      <c r="F122" s="241"/>
      <c r="G122" s="241"/>
      <c r="H122" s="1"/>
      <c r="I122" s="1"/>
      <c r="J122" s="1"/>
    </row>
    <row r="123" spans="1:13" ht="14.45" customHeight="1" x14ac:dyDescent="0.25">
      <c r="A123" s="909"/>
      <c r="B123" s="909"/>
      <c r="C123" s="909"/>
      <c r="D123" s="909"/>
      <c r="E123" s="909"/>
      <c r="F123" s="909"/>
      <c r="G123" s="909"/>
      <c r="K123" s="385"/>
      <c r="L123" s="385"/>
    </row>
    <row r="124" spans="1:13" x14ac:dyDescent="0.25">
      <c r="A124" s="760" t="s">
        <v>540</v>
      </c>
      <c r="B124" s="760"/>
      <c r="C124" s="760"/>
      <c r="D124" s="760"/>
      <c r="E124" s="760"/>
      <c r="F124" s="385"/>
      <c r="G124" s="385"/>
      <c r="H124" s="385"/>
      <c r="I124" s="385"/>
      <c r="J124" s="385"/>
      <c r="K124" s="385"/>
      <c r="L124" s="385"/>
    </row>
    <row r="125" spans="1:13" ht="15.75" thickBot="1" x14ac:dyDescent="0.3">
      <c r="A125" s="248"/>
      <c r="B125" s="248"/>
      <c r="C125" s="248"/>
      <c r="D125" s="248"/>
      <c r="E125" s="248"/>
      <c r="F125" s="385"/>
      <c r="G125" s="385"/>
      <c r="H125" s="385"/>
      <c r="I125" s="385"/>
      <c r="J125" s="385"/>
      <c r="K125" s="385"/>
      <c r="L125" s="385"/>
    </row>
    <row r="126" spans="1:13" ht="36" customHeight="1" thickBot="1" x14ac:dyDescent="0.3">
      <c r="A126" s="248" t="s">
        <v>541</v>
      </c>
      <c r="B126" s="363"/>
      <c r="C126" s="136"/>
      <c r="D126" s="136"/>
      <c r="E126" s="136"/>
      <c r="F126" s="136"/>
      <c r="G126" s="136"/>
      <c r="H126" s="136"/>
      <c r="I126" s="136"/>
      <c r="J126" s="22"/>
      <c r="K126" s="22"/>
      <c r="L126" s="22"/>
    </row>
    <row r="127" spans="1:13" x14ac:dyDescent="0.25">
      <c r="A127" s="248"/>
      <c r="B127" s="136"/>
      <c r="C127" s="136"/>
      <c r="D127" s="248"/>
      <c r="E127" s="248"/>
      <c r="F127" s="385"/>
      <c r="G127" s="385"/>
      <c r="H127" s="385"/>
      <c r="I127" s="385"/>
      <c r="J127" s="385"/>
    </row>
    <row r="128" spans="1:13" x14ac:dyDescent="0.25">
      <c r="A128" s="760" t="s">
        <v>542</v>
      </c>
      <c r="B128" s="760"/>
      <c r="C128" s="760"/>
      <c r="D128" s="760"/>
      <c r="E128" s="760"/>
      <c r="F128" s="1"/>
      <c r="G128" s="1"/>
      <c r="I128" s="406"/>
      <c r="J128" s="406"/>
      <c r="K128" s="406"/>
      <c r="L128" s="406"/>
      <c r="M128" s="406"/>
    </row>
    <row r="129" spans="1:14" ht="15.75" thickBot="1" x14ac:dyDescent="0.3">
      <c r="A129" s="251"/>
      <c r="B129" s="251"/>
      <c r="C129" s="251"/>
      <c r="D129" s="251"/>
      <c r="E129" s="251"/>
      <c r="F129" s="248"/>
      <c r="G129" s="248"/>
      <c r="I129" s="406"/>
      <c r="J129" s="406"/>
      <c r="K129" s="406"/>
      <c r="L129" s="406"/>
      <c r="M129" s="406"/>
    </row>
    <row r="130" spans="1:14" ht="63.75" thickBot="1" x14ac:dyDescent="0.3">
      <c r="A130" s="586" t="s">
        <v>407</v>
      </c>
      <c r="B130" s="587" t="s">
        <v>524</v>
      </c>
      <c r="C130" s="523" t="s">
        <v>571</v>
      </c>
      <c r="D130" s="523" t="s">
        <v>570</v>
      </c>
      <c r="E130" s="523" t="s">
        <v>569</v>
      </c>
      <c r="F130" s="524" t="s">
        <v>600</v>
      </c>
      <c r="G130" s="524" t="s">
        <v>568</v>
      </c>
      <c r="H130" s="524" t="s">
        <v>601</v>
      </c>
      <c r="I130" s="406"/>
      <c r="J130" s="359"/>
      <c r="K130" s="359"/>
      <c r="L130" s="359"/>
    </row>
    <row r="131" spans="1:14" x14ac:dyDescent="0.25">
      <c r="A131" s="579"/>
      <c r="B131" s="580"/>
      <c r="C131" s="580"/>
      <c r="D131" s="512"/>
      <c r="E131" s="513"/>
      <c r="F131" s="513"/>
      <c r="G131" s="513"/>
      <c r="H131" s="514"/>
      <c r="I131" s="251"/>
      <c r="J131" s="251"/>
      <c r="K131" s="248"/>
      <c r="L131" s="248"/>
    </row>
    <row r="132" spans="1:14" x14ac:dyDescent="0.25">
      <c r="A132" s="581"/>
      <c r="B132" s="582"/>
      <c r="C132" s="582"/>
      <c r="D132" s="515"/>
      <c r="E132" s="516"/>
      <c r="F132" s="516"/>
      <c r="G132" s="516"/>
      <c r="H132" s="471"/>
      <c r="I132" s="251"/>
      <c r="J132" s="251"/>
      <c r="K132" s="248"/>
      <c r="L132" s="248"/>
    </row>
    <row r="133" spans="1:14" ht="15.75" thickBot="1" x14ac:dyDescent="0.3">
      <c r="A133" s="583"/>
      <c r="B133" s="584"/>
      <c r="C133" s="584"/>
      <c r="D133" s="517"/>
      <c r="E133" s="518"/>
      <c r="F133" s="519"/>
      <c r="G133" s="519"/>
      <c r="H133" s="520"/>
      <c r="I133" s="248"/>
      <c r="J133" s="248"/>
    </row>
    <row r="134" spans="1:14" ht="30.75" thickBot="1" x14ac:dyDescent="0.3">
      <c r="B134" s="248"/>
      <c r="E134" s="248" t="s">
        <v>501</v>
      </c>
      <c r="F134" s="585"/>
      <c r="G134" s="521"/>
      <c r="H134" s="522"/>
      <c r="I134" s="248"/>
    </row>
    <row r="135" spans="1:14" x14ac:dyDescent="0.25">
      <c r="B135" s="248"/>
      <c r="E135" s="248"/>
      <c r="F135" s="248"/>
      <c r="G135" s="248"/>
      <c r="H135" s="248"/>
      <c r="I135" s="248"/>
    </row>
    <row r="136" spans="1:14" x14ac:dyDescent="0.25">
      <c r="B136" s="248"/>
      <c r="E136" s="248"/>
      <c r="F136" s="248"/>
      <c r="G136" s="248"/>
      <c r="H136" s="248"/>
      <c r="I136" s="248"/>
    </row>
    <row r="137" spans="1:14" x14ac:dyDescent="0.25">
      <c r="B137" s="248"/>
      <c r="E137" s="248"/>
      <c r="F137" s="248"/>
      <c r="G137" s="248"/>
      <c r="H137" s="248"/>
      <c r="I137" s="248"/>
    </row>
    <row r="138" spans="1:14" x14ac:dyDescent="0.25">
      <c r="B138" s="248"/>
      <c r="E138" s="248"/>
      <c r="F138" s="248"/>
      <c r="G138" s="248"/>
      <c r="H138" s="248"/>
      <c r="I138" s="248"/>
    </row>
    <row r="139" spans="1:14" x14ac:dyDescent="0.25">
      <c r="B139" s="248"/>
      <c r="E139" s="248"/>
      <c r="F139" s="248"/>
      <c r="G139" s="248"/>
      <c r="H139" s="248"/>
      <c r="I139" s="248"/>
    </row>
    <row r="140" spans="1:14" x14ac:dyDescent="0.25">
      <c r="A140" s="248"/>
      <c r="B140" s="248"/>
      <c r="C140" s="248"/>
      <c r="D140" s="248"/>
      <c r="E140" s="248"/>
      <c r="F140" s="248"/>
      <c r="G140" s="248"/>
    </row>
    <row r="141" spans="1:14" x14ac:dyDescent="0.25">
      <c r="A141" s="760" t="s">
        <v>208</v>
      </c>
      <c r="B141" s="760"/>
      <c r="C141" s="760"/>
      <c r="D141" s="136"/>
      <c r="E141" s="136"/>
      <c r="F141" s="136"/>
      <c r="G141" s="136"/>
    </row>
    <row r="142" spans="1:14" ht="15.75" thickBot="1" x14ac:dyDescent="0.3"/>
    <row r="143" spans="1:14" ht="18.75" thickBot="1" x14ac:dyDescent="0.3">
      <c r="A143" s="681" t="s">
        <v>154</v>
      </c>
      <c r="B143" s="679"/>
      <c r="C143" s="412" t="s">
        <v>124</v>
      </c>
      <c r="D143" s="410" t="s">
        <v>256</v>
      </c>
      <c r="E143" s="411" t="s">
        <v>157</v>
      </c>
      <c r="F143" s="411" t="s">
        <v>125</v>
      </c>
      <c r="G143" s="28"/>
      <c r="H143" s="28"/>
      <c r="I143" s="28"/>
      <c r="J143" s="28"/>
      <c r="L143" s="359"/>
      <c r="M143" s="359"/>
      <c r="N143" s="359"/>
    </row>
    <row r="144" spans="1:14" ht="15.75" thickBot="1" x14ac:dyDescent="0.3">
      <c r="A144" s="392" t="s">
        <v>90</v>
      </c>
      <c r="B144" s="393" t="s">
        <v>376</v>
      </c>
      <c r="C144" s="588"/>
      <c r="D144" s="252"/>
      <c r="E144" s="253"/>
      <c r="F144" s="254"/>
      <c r="G144" s="255"/>
      <c r="H144" s="256"/>
      <c r="I144" s="256"/>
      <c r="J144" s="257"/>
    </row>
    <row r="145" spans="1:16" ht="15.75" thickBot="1" x14ac:dyDescent="0.3">
      <c r="A145" s="21"/>
      <c r="B145" s="21"/>
      <c r="C145" s="258"/>
      <c r="D145" s="18"/>
      <c r="E145" s="107"/>
      <c r="F145" s="8"/>
      <c r="G145" s="66"/>
      <c r="I145" s="109"/>
      <c r="J145" s="66"/>
    </row>
    <row r="146" spans="1:16" ht="15.75" thickBot="1" x14ac:dyDescent="0.3">
      <c r="A146" s="763" t="s">
        <v>202</v>
      </c>
      <c r="B146" s="763"/>
      <c r="C146" s="192"/>
      <c r="D146" s="762" t="s">
        <v>203</v>
      </c>
      <c r="E146" s="763"/>
      <c r="F146" s="763"/>
      <c r="G146" s="883"/>
      <c r="H146" s="884"/>
      <c r="I146" s="884"/>
      <c r="J146" s="885"/>
    </row>
    <row r="147" spans="1:16" ht="15.75" thickBot="1" x14ac:dyDescent="0.3">
      <c r="A147" s="1"/>
      <c r="B147" s="1"/>
      <c r="C147" s="1"/>
      <c r="D147" s="1"/>
      <c r="E147" s="1"/>
      <c r="F147" s="1"/>
      <c r="G147" s="1"/>
      <c r="H147" s="1"/>
      <c r="I147" s="1"/>
      <c r="J147" s="1"/>
    </row>
    <row r="148" spans="1:16" ht="15.75" thickBot="1" x14ac:dyDescent="0.3">
      <c r="A148" s="193"/>
      <c r="B148" s="1"/>
      <c r="C148" s="192"/>
      <c r="D148" s="891" t="s">
        <v>602</v>
      </c>
      <c r="E148" s="760"/>
      <c r="F148" s="760"/>
      <c r="G148" s="760"/>
      <c r="H148" s="760"/>
      <c r="I148" s="760"/>
      <c r="J148" s="760"/>
    </row>
    <row r="149" spans="1:16" x14ac:dyDescent="0.25">
      <c r="A149" s="193"/>
      <c r="B149" s="1"/>
      <c r="C149" s="1"/>
      <c r="D149" s="251"/>
      <c r="E149" s="251"/>
      <c r="F149" s="251"/>
      <c r="G149" s="251"/>
      <c r="H149" s="251"/>
      <c r="I149" s="251"/>
      <c r="J149" s="1"/>
    </row>
    <row r="150" spans="1:16" x14ac:dyDescent="0.25">
      <c r="A150" s="193"/>
      <c r="B150" s="1"/>
      <c r="C150" s="1"/>
      <c r="D150" s="251"/>
      <c r="E150" s="251"/>
      <c r="F150" s="251"/>
      <c r="G150" s="251"/>
      <c r="H150" s="251"/>
      <c r="I150" s="251"/>
      <c r="J150" s="1"/>
    </row>
    <row r="151" spans="1:16" x14ac:dyDescent="0.25">
      <c r="A151" s="766" t="s">
        <v>608</v>
      </c>
      <c r="B151" s="760"/>
      <c r="C151" s="760"/>
      <c r="D151" s="760"/>
    </row>
    <row r="152" spans="1:16" ht="15.75" thickBot="1" x14ac:dyDescent="0.3"/>
    <row r="153" spans="1:16" ht="82.9" customHeight="1" thickBot="1" x14ac:dyDescent="0.3">
      <c r="A153" s="684" t="s">
        <v>519</v>
      </c>
      <c r="B153" s="687"/>
      <c r="C153" s="470" t="s">
        <v>377</v>
      </c>
      <c r="D153" s="453" t="s">
        <v>378</v>
      </c>
      <c r="E153" s="470" t="s">
        <v>379</v>
      </c>
      <c r="F153" s="453" t="s">
        <v>380</v>
      </c>
      <c r="G153" s="525" t="s">
        <v>593</v>
      </c>
      <c r="H153" s="67"/>
      <c r="I153" s="67"/>
      <c r="J153" s="67"/>
      <c r="K153" s="415"/>
      <c r="L153" s="415"/>
      <c r="M153" s="415"/>
      <c r="N153" s="370"/>
      <c r="O153" s="370"/>
      <c r="P153" s="370"/>
    </row>
    <row r="154" spans="1:16" ht="39.6" customHeight="1" thickBot="1" x14ac:dyDescent="0.3">
      <c r="A154" s="889" t="s">
        <v>476</v>
      </c>
      <c r="B154" s="890"/>
      <c r="C154" s="458">
        <f>C144-(C17+C32+F115+B126+F134)</f>
        <v>0</v>
      </c>
      <c r="D154" s="458">
        <f>D144-(D32+G134)</f>
        <v>0</v>
      </c>
      <c r="E154" s="458">
        <f>E144-(H134)</f>
        <v>0</v>
      </c>
      <c r="F154" s="459">
        <f>F144</f>
        <v>0</v>
      </c>
      <c r="G154" s="446"/>
      <c r="H154" s="446"/>
      <c r="I154" s="447"/>
      <c r="J154" s="448"/>
      <c r="K154" s="415"/>
      <c r="L154" s="415"/>
      <c r="M154" s="415"/>
      <c r="N154" s="415"/>
      <c r="O154" s="370"/>
      <c r="P154" s="370"/>
    </row>
    <row r="155" spans="1:16" ht="15.75" thickBot="1" x14ac:dyDescent="0.3">
      <c r="A155" s="464"/>
      <c r="B155" s="317"/>
      <c r="C155" s="465"/>
      <c r="D155" s="465"/>
      <c r="E155" s="465"/>
      <c r="F155" s="465"/>
      <c r="G155" s="465"/>
      <c r="H155" s="465"/>
      <c r="I155" s="20"/>
      <c r="J155" s="20"/>
      <c r="K155" s="464"/>
      <c r="L155" s="464"/>
      <c r="M155" s="464"/>
      <c r="N155" s="464"/>
      <c r="O155" s="466"/>
      <c r="P155" s="466"/>
    </row>
    <row r="156" spans="1:16" ht="15.75" thickBot="1" x14ac:dyDescent="0.3">
      <c r="A156" s="464"/>
      <c r="B156" s="317"/>
      <c r="C156" s="465"/>
      <c r="D156" s="880" t="s">
        <v>594</v>
      </c>
      <c r="E156" s="880"/>
      <c r="F156" s="880"/>
      <c r="G156" s="881"/>
      <c r="H156" s="882"/>
      <c r="I156" s="20"/>
      <c r="J156" s="20"/>
      <c r="K156" s="877"/>
      <c r="L156" s="877"/>
      <c r="M156" s="877"/>
      <c r="N156" s="877"/>
      <c r="O156" s="877"/>
      <c r="P156" s="877"/>
    </row>
    <row r="157" spans="1:16" x14ac:dyDescent="0.25">
      <c r="A157" s="464"/>
      <c r="B157" s="317"/>
      <c r="C157" s="465"/>
      <c r="D157" s="557"/>
      <c r="E157" s="557"/>
      <c r="F157" s="557"/>
      <c r="G157" s="559"/>
      <c r="H157" s="559"/>
      <c r="I157" s="20"/>
      <c r="J157" s="20"/>
      <c r="K157" s="422"/>
      <c r="L157" s="422"/>
      <c r="M157" s="422"/>
      <c r="N157" s="422"/>
      <c r="O157" s="422"/>
      <c r="P157" s="422"/>
    </row>
    <row r="158" spans="1:16" ht="15.75" thickBot="1" x14ac:dyDescent="0.3">
      <c r="A158" s="908" t="s">
        <v>603</v>
      </c>
      <c r="B158" s="908"/>
      <c r="C158" s="908"/>
      <c r="D158" s="387"/>
      <c r="E158" s="387"/>
      <c r="F158" s="387"/>
      <c r="G158" s="387"/>
      <c r="H158" s="387"/>
      <c r="I158" s="387"/>
      <c r="J158" s="387"/>
      <c r="K158" s="386"/>
      <c r="L158" s="386"/>
      <c r="M158" s="386"/>
      <c r="N158" s="370"/>
      <c r="O158" s="370"/>
      <c r="P158" s="370"/>
    </row>
    <row r="159" spans="1:16" ht="49.9" customHeight="1" thickBot="1" x14ac:dyDescent="0.3">
      <c r="A159" s="239"/>
      <c r="B159" s="135"/>
      <c r="C159" s="387"/>
      <c r="D159" s="886" t="s">
        <v>424</v>
      </c>
      <c r="E159" s="887"/>
      <c r="F159" s="887"/>
      <c r="G159" s="887"/>
      <c r="H159" s="887"/>
      <c r="I159" s="887"/>
      <c r="J159" s="888"/>
    </row>
    <row r="160" spans="1:16" ht="60.75" thickBot="1" x14ac:dyDescent="0.3">
      <c r="A160" s="906" t="s">
        <v>418</v>
      </c>
      <c r="B160" s="907"/>
      <c r="C160" s="589" t="s">
        <v>520</v>
      </c>
      <c r="D160" s="590" t="s">
        <v>377</v>
      </c>
      <c r="E160" s="526" t="s">
        <v>521</v>
      </c>
      <c r="F160" s="526" t="s">
        <v>379</v>
      </c>
      <c r="G160" s="526" t="s">
        <v>380</v>
      </c>
      <c r="H160" s="416"/>
      <c r="I160" s="416"/>
      <c r="J160" s="417"/>
    </row>
    <row r="161" spans="1:19" ht="14.65" customHeight="1" x14ac:dyDescent="0.25">
      <c r="A161" s="878"/>
      <c r="B161" s="879"/>
      <c r="C161" s="591"/>
      <c r="D161" s="388"/>
      <c r="E161" s="389"/>
      <c r="F161" s="388"/>
      <c r="G161" s="389"/>
      <c r="H161" s="388"/>
      <c r="I161" s="389"/>
      <c r="J161" s="388"/>
      <c r="K161" s="919"/>
      <c r="L161" s="920"/>
      <c r="M161" s="920"/>
      <c r="N161" s="920"/>
      <c r="O161" s="920"/>
      <c r="P161" s="920"/>
      <c r="Q161" s="920"/>
      <c r="R161" s="920"/>
      <c r="S161" s="560"/>
    </row>
    <row r="162" spans="1:19" x14ac:dyDescent="0.25">
      <c r="A162" s="782"/>
      <c r="B162" s="784"/>
      <c r="C162" s="592"/>
      <c r="D162" s="287"/>
      <c r="E162" s="286"/>
      <c r="F162" s="287"/>
      <c r="G162" s="286"/>
      <c r="H162" s="287"/>
      <c r="I162" s="286"/>
      <c r="J162" s="287"/>
      <c r="K162" s="919"/>
      <c r="L162" s="920"/>
      <c r="M162" s="920"/>
      <c r="N162" s="920"/>
      <c r="O162" s="920"/>
      <c r="P162" s="920"/>
      <c r="Q162" s="920"/>
      <c r="R162" s="920"/>
      <c r="S162" s="560"/>
    </row>
    <row r="163" spans="1:19" x14ac:dyDescent="0.25">
      <c r="A163" s="782"/>
      <c r="B163" s="784"/>
      <c r="C163" s="592"/>
      <c r="D163" s="287"/>
      <c r="E163" s="286"/>
      <c r="F163" s="287"/>
      <c r="G163" s="286"/>
      <c r="H163" s="287"/>
      <c r="I163" s="286"/>
      <c r="J163" s="287"/>
      <c r="K163" s="919"/>
      <c r="L163" s="920"/>
      <c r="M163" s="920"/>
      <c r="N163" s="920"/>
      <c r="O163" s="920"/>
      <c r="P163" s="920"/>
      <c r="Q163" s="920"/>
      <c r="R163" s="920"/>
      <c r="S163" s="560"/>
    </row>
    <row r="164" spans="1:19" x14ac:dyDescent="0.25">
      <c r="A164" s="782"/>
      <c r="B164" s="784"/>
      <c r="C164" s="592"/>
      <c r="D164" s="287"/>
      <c r="E164" s="286"/>
      <c r="F164" s="287"/>
      <c r="G164" s="286"/>
      <c r="H164" s="287"/>
      <c r="I164" s="286"/>
      <c r="J164" s="287"/>
      <c r="K164" s="919"/>
      <c r="L164" s="920"/>
      <c r="M164" s="920"/>
      <c r="N164" s="920"/>
      <c r="O164" s="920"/>
      <c r="P164" s="920"/>
      <c r="Q164" s="920"/>
      <c r="R164" s="920"/>
      <c r="S164" s="560"/>
    </row>
    <row r="165" spans="1:19" x14ac:dyDescent="0.25">
      <c r="A165" s="782"/>
      <c r="B165" s="784"/>
      <c r="C165" s="592"/>
      <c r="D165" s="287"/>
      <c r="E165" s="286"/>
      <c r="F165" s="287"/>
      <c r="G165" s="286"/>
      <c r="H165" s="287"/>
      <c r="I165" s="286"/>
      <c r="J165" s="287"/>
      <c r="K165" s="919"/>
      <c r="L165" s="920"/>
      <c r="M165" s="920"/>
      <c r="N165" s="920"/>
      <c r="O165" s="920"/>
      <c r="P165" s="920"/>
      <c r="Q165" s="920"/>
      <c r="R165" s="920"/>
      <c r="S165" s="560"/>
    </row>
    <row r="166" spans="1:19" x14ac:dyDescent="0.25">
      <c r="A166" s="782"/>
      <c r="B166" s="784"/>
      <c r="C166" s="592"/>
      <c r="D166" s="287"/>
      <c r="E166" s="286"/>
      <c r="F166" s="287"/>
      <c r="G166" s="286"/>
      <c r="H166" s="287"/>
      <c r="I166" s="286"/>
      <c r="J166" s="287"/>
      <c r="K166" s="919"/>
      <c r="L166" s="920"/>
      <c r="M166" s="920"/>
      <c r="N166" s="920"/>
      <c r="O166" s="920"/>
      <c r="P166" s="920"/>
      <c r="Q166" s="920"/>
      <c r="R166" s="920"/>
      <c r="S166" s="560"/>
    </row>
    <row r="167" spans="1:19" x14ac:dyDescent="0.25">
      <c r="A167" s="782"/>
      <c r="B167" s="784"/>
      <c r="C167" s="592"/>
      <c r="D167" s="287"/>
      <c r="E167" s="286"/>
      <c r="F167" s="287"/>
      <c r="G167" s="286"/>
      <c r="H167" s="287"/>
      <c r="I167" s="286"/>
      <c r="J167" s="287"/>
      <c r="K167" s="919"/>
      <c r="L167" s="920"/>
      <c r="M167" s="920"/>
      <c r="N167" s="920"/>
      <c r="O167" s="920"/>
      <c r="P167" s="920"/>
      <c r="Q167" s="920"/>
      <c r="R167" s="920"/>
      <c r="S167" s="560"/>
    </row>
    <row r="168" spans="1:19" x14ac:dyDescent="0.25">
      <c r="A168" s="894"/>
      <c r="B168" s="895"/>
      <c r="C168" s="592"/>
      <c r="D168" s="287"/>
      <c r="E168" s="286"/>
      <c r="F168" s="287"/>
      <c r="G168" s="286"/>
      <c r="H168" s="287"/>
      <c r="I168" s="286"/>
      <c r="J168" s="287"/>
      <c r="K168" s="919"/>
      <c r="L168" s="920"/>
      <c r="M168" s="920"/>
      <c r="N168" s="920"/>
      <c r="O168" s="920"/>
      <c r="P168" s="920"/>
      <c r="Q168" s="920"/>
      <c r="R168" s="920"/>
      <c r="S168" s="560"/>
    </row>
    <row r="169" spans="1:19" x14ac:dyDescent="0.25">
      <c r="A169" s="894"/>
      <c r="B169" s="895"/>
      <c r="C169" s="592"/>
      <c r="D169" s="287"/>
      <c r="E169" s="286"/>
      <c r="F169" s="287"/>
      <c r="G169" s="286"/>
      <c r="H169" s="287"/>
      <c r="I169" s="286"/>
      <c r="J169" s="287"/>
      <c r="K169" s="919"/>
      <c r="L169" s="920"/>
      <c r="M169" s="920"/>
      <c r="N169" s="920"/>
      <c r="O169" s="920"/>
      <c r="P169" s="920"/>
      <c r="Q169" s="920"/>
      <c r="R169" s="920"/>
      <c r="S169" s="560"/>
    </row>
    <row r="170" spans="1:19" x14ac:dyDescent="0.25">
      <c r="A170" s="894"/>
      <c r="B170" s="895"/>
      <c r="C170" s="592"/>
      <c r="D170" s="287"/>
      <c r="E170" s="286"/>
      <c r="F170" s="287"/>
      <c r="G170" s="286"/>
      <c r="H170" s="287"/>
      <c r="I170" s="286"/>
      <c r="J170" s="287"/>
      <c r="K170" s="919"/>
      <c r="L170" s="920"/>
      <c r="M170" s="920"/>
      <c r="N170" s="920"/>
      <c r="O170" s="920"/>
      <c r="P170" s="920"/>
      <c r="Q170" s="920"/>
      <c r="R170" s="920"/>
      <c r="S170" s="560"/>
    </row>
    <row r="171" spans="1:19" x14ac:dyDescent="0.25">
      <c r="A171" s="782"/>
      <c r="B171" s="784"/>
      <c r="C171" s="592"/>
      <c r="D171" s="287"/>
      <c r="E171" s="286"/>
      <c r="F171" s="287"/>
      <c r="G171" s="286"/>
      <c r="H171" s="287"/>
      <c r="I171" s="286"/>
      <c r="J171" s="287"/>
      <c r="K171" s="919"/>
      <c r="L171" s="920"/>
      <c r="M171" s="920"/>
      <c r="N171" s="920"/>
      <c r="O171" s="920"/>
      <c r="P171" s="920"/>
      <c r="Q171" s="920"/>
      <c r="R171" s="920"/>
    </row>
    <row r="172" spans="1:19" ht="15.75" thickBot="1" x14ac:dyDescent="0.3">
      <c r="A172" s="808"/>
      <c r="B172" s="896"/>
      <c r="C172" s="593"/>
      <c r="D172" s="390"/>
      <c r="E172" s="391"/>
      <c r="F172" s="390"/>
      <c r="G172" s="391"/>
      <c r="H172" s="390"/>
      <c r="I172" s="391"/>
      <c r="J172" s="390"/>
      <c r="K172" s="919"/>
      <c r="L172" s="920"/>
      <c r="M172" s="920"/>
      <c r="N172" s="920"/>
      <c r="O172" s="920"/>
      <c r="P172" s="920"/>
      <c r="Q172" s="920"/>
      <c r="R172" s="920"/>
    </row>
    <row r="173" spans="1:19" ht="67.900000000000006" customHeight="1" thickBot="1" x14ac:dyDescent="0.3">
      <c r="A173" s="897" t="s">
        <v>525</v>
      </c>
      <c r="B173" s="898"/>
      <c r="C173" s="594"/>
      <c r="D173" s="289"/>
      <c r="E173" s="288"/>
      <c r="F173" s="289"/>
      <c r="G173" s="288"/>
      <c r="H173" s="289"/>
      <c r="I173" s="288"/>
      <c r="J173" s="289"/>
      <c r="K173" s="919"/>
      <c r="L173" s="920"/>
      <c r="M173" s="920"/>
      <c r="N173" s="920"/>
      <c r="O173" s="920"/>
      <c r="P173" s="920"/>
      <c r="Q173" s="920"/>
      <c r="R173" s="920"/>
    </row>
    <row r="174" spans="1:19" ht="46.9" customHeight="1" thickBot="1" x14ac:dyDescent="0.3">
      <c r="A174" s="897" t="s">
        <v>425</v>
      </c>
      <c r="B174" s="898"/>
      <c r="C174" s="594"/>
      <c r="D174" s="289"/>
      <c r="E174" s="288"/>
      <c r="F174" s="289"/>
      <c r="G174" s="288"/>
      <c r="H174" s="289"/>
      <c r="I174" s="288"/>
      <c r="J174" s="289"/>
      <c r="K174" s="919"/>
      <c r="L174" s="920"/>
      <c r="M174" s="920"/>
      <c r="N174" s="920"/>
      <c r="O174" s="920"/>
      <c r="P174" s="920"/>
      <c r="Q174" s="920"/>
      <c r="R174" s="920"/>
    </row>
    <row r="175" spans="1:19" ht="39" customHeight="1" thickBot="1" x14ac:dyDescent="0.3">
      <c r="A175" s="899" t="s">
        <v>426</v>
      </c>
      <c r="B175" s="900"/>
      <c r="C175" s="595"/>
      <c r="D175" s="290"/>
      <c r="E175" s="291"/>
      <c r="F175" s="290"/>
      <c r="G175" s="291"/>
      <c r="H175" s="290"/>
      <c r="I175" s="291"/>
      <c r="J175" s="290"/>
      <c r="K175" s="919"/>
      <c r="L175" s="920"/>
      <c r="M175" s="920"/>
      <c r="N175" s="920"/>
      <c r="O175" s="920"/>
      <c r="P175" s="920"/>
      <c r="Q175" s="920"/>
      <c r="R175" s="920"/>
    </row>
    <row r="176" spans="1:19" ht="35.65" customHeight="1" thickBot="1" x14ac:dyDescent="0.3">
      <c r="A176" s="892" t="s">
        <v>427</v>
      </c>
      <c r="B176" s="893"/>
      <c r="C176" s="288"/>
      <c r="D176" s="289"/>
      <c r="E176" s="288"/>
      <c r="F176" s="289"/>
      <c r="G176" s="288"/>
      <c r="H176" s="289"/>
      <c r="I176" s="288"/>
      <c r="J176" s="289"/>
      <c r="K176" s="919"/>
      <c r="L176" s="920"/>
      <c r="M176" s="920"/>
      <c r="N176" s="920"/>
      <c r="O176" s="920"/>
      <c r="P176" s="920"/>
      <c r="Q176" s="920"/>
      <c r="R176" s="920"/>
    </row>
  </sheetData>
  <mergeCells count="84">
    <mergeCell ref="K173:R176"/>
    <mergeCell ref="K161:R172"/>
    <mergeCell ref="A14:A16"/>
    <mergeCell ref="I14:I15"/>
    <mergeCell ref="J14:J15"/>
    <mergeCell ref="A80:C80"/>
    <mergeCell ref="A104:B104"/>
    <mergeCell ref="A41:B41"/>
    <mergeCell ref="A43:B43"/>
    <mergeCell ref="A42:B42"/>
    <mergeCell ref="A82:A83"/>
    <mergeCell ref="B82:B83"/>
    <mergeCell ref="A84:A89"/>
    <mergeCell ref="C82:E82"/>
    <mergeCell ref="A90:A95"/>
    <mergeCell ref="A34:D34"/>
    <mergeCell ref="A39:B39"/>
    <mergeCell ref="A32:B32"/>
    <mergeCell ref="A30:B30"/>
    <mergeCell ref="I1:J1"/>
    <mergeCell ref="F25:G25"/>
    <mergeCell ref="I25:J25"/>
    <mergeCell ref="E27:F27"/>
    <mergeCell ref="G7:H7"/>
    <mergeCell ref="D17:J17"/>
    <mergeCell ref="A19:D19"/>
    <mergeCell ref="A11:B11"/>
    <mergeCell ref="A23:C23"/>
    <mergeCell ref="B5:C5"/>
    <mergeCell ref="A7:C7"/>
    <mergeCell ref="A13:B13"/>
    <mergeCell ref="B27:C27"/>
    <mergeCell ref="B25:C25"/>
    <mergeCell ref="G27:H27"/>
    <mergeCell ref="A17:B17"/>
    <mergeCell ref="A124:E124"/>
    <mergeCell ref="A118:B118"/>
    <mergeCell ref="D118:F118"/>
    <mergeCell ref="D120:E120"/>
    <mergeCell ref="F120:G120"/>
    <mergeCell ref="A123:G123"/>
    <mergeCell ref="G118:J118"/>
    <mergeCell ref="F106:G106"/>
    <mergeCell ref="D104:F104"/>
    <mergeCell ref="G104:J104"/>
    <mergeCell ref="D111:E111"/>
    <mergeCell ref="D112:E112"/>
    <mergeCell ref="D106:E106"/>
    <mergeCell ref="B111:C111"/>
    <mergeCell ref="A111:A112"/>
    <mergeCell ref="B112:C112"/>
    <mergeCell ref="A109:C109"/>
    <mergeCell ref="A164:B164"/>
    <mergeCell ref="A163:B163"/>
    <mergeCell ref="A160:B160"/>
    <mergeCell ref="A151:D151"/>
    <mergeCell ref="A158:C158"/>
    <mergeCell ref="A165:B165"/>
    <mergeCell ref="A166:B166"/>
    <mergeCell ref="A167:B167"/>
    <mergeCell ref="A176:B176"/>
    <mergeCell ref="A168:B168"/>
    <mergeCell ref="A169:B169"/>
    <mergeCell ref="A170:B170"/>
    <mergeCell ref="A171:B171"/>
    <mergeCell ref="A172:B172"/>
    <mergeCell ref="A173:B173"/>
    <mergeCell ref="A174:B174"/>
    <mergeCell ref="A175:B175"/>
    <mergeCell ref="K156:P156"/>
    <mergeCell ref="A128:E128"/>
    <mergeCell ref="A161:B161"/>
    <mergeCell ref="A162:B162"/>
    <mergeCell ref="D156:F156"/>
    <mergeCell ref="G156:H156"/>
    <mergeCell ref="A141:C141"/>
    <mergeCell ref="A143:B143"/>
    <mergeCell ref="A146:B146"/>
    <mergeCell ref="D146:F146"/>
    <mergeCell ref="G146:J146"/>
    <mergeCell ref="D159:J159"/>
    <mergeCell ref="A153:B153"/>
    <mergeCell ref="A154:B154"/>
    <mergeCell ref="D148:J148"/>
  </mergeCells>
  <hyperlinks>
    <hyperlink ref="I1:J1" location="Índice!A1" display="Voltar ao índice" xr:uid="{00000000-0004-0000-1000-000000000000}"/>
  </hyperlinks>
  <pageMargins left="0.70866141732283472" right="0.70866141732283472" top="1.3779527559055118" bottom="0.74803149606299213" header="0.31496062992125984" footer="0.31496062992125984"/>
  <pageSetup paperSize="9" scale="45" fitToHeight="0" orientation="portrait" cellComments="asDisplayed" r:id="rId1"/>
  <headerFooter>
    <oddHeader>&amp;L&amp;G&amp;C&amp;"-,Negrito"
&amp;24Caderno de Campo</oddHeader>
    <oddFooter>&amp;C&amp;G</oddFooter>
  </headerFooter>
  <legacyDrawing r:id="rId2"/>
  <legacyDrawingHF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5:N254"/>
  <sheetViews>
    <sheetView showGridLines="0" showRuler="0" view="pageLayout" zoomScale="70" zoomScaleNormal="80" zoomScalePageLayoutView="70" workbookViewId="0">
      <selection activeCell="L5" sqref="L5:M5"/>
    </sheetView>
  </sheetViews>
  <sheetFormatPr defaultColWidth="8.85546875" defaultRowHeight="10.5" x14ac:dyDescent="0.15"/>
  <cols>
    <col min="1" max="1" width="20.140625" style="23" customWidth="1"/>
    <col min="2" max="2" width="13.5703125" style="23" customWidth="1"/>
    <col min="3" max="3" width="16.42578125" style="23" customWidth="1"/>
    <col min="4" max="4" width="15.7109375" style="23" customWidth="1"/>
    <col min="5" max="5" width="18.140625" style="23" customWidth="1"/>
    <col min="6" max="6" width="16.5703125" style="23" customWidth="1"/>
    <col min="7" max="7" width="16.42578125" style="23" customWidth="1"/>
    <col min="8" max="8" width="15.5703125" style="23" customWidth="1"/>
    <col min="9" max="9" width="12.85546875" style="23" customWidth="1"/>
    <col min="10" max="10" width="11.28515625" style="23" customWidth="1"/>
    <col min="11" max="11" width="12.5703125" style="23" customWidth="1"/>
    <col min="12" max="12" width="14.42578125" style="23" customWidth="1"/>
    <col min="13" max="13" width="15.7109375" style="23" customWidth="1"/>
    <col min="14" max="16384" width="8.85546875" style="23"/>
  </cols>
  <sheetData>
    <row r="5" spans="1:14" ht="17.25" x14ac:dyDescent="0.3">
      <c r="A5" s="650" t="s">
        <v>263</v>
      </c>
      <c r="B5" s="650"/>
      <c r="C5" s="650"/>
      <c r="L5" s="604" t="s">
        <v>375</v>
      </c>
      <c r="M5" s="604"/>
    </row>
    <row r="7" spans="1:14" ht="15" x14ac:dyDescent="0.25">
      <c r="A7" s="1" t="s">
        <v>224</v>
      </c>
      <c r="B7"/>
      <c r="C7"/>
      <c r="D7"/>
      <c r="E7"/>
      <c r="F7"/>
      <c r="G7"/>
      <c r="H7"/>
      <c r="I7"/>
      <c r="J7"/>
      <c r="K7"/>
      <c r="L7"/>
      <c r="M7"/>
    </row>
    <row r="8" spans="1:14" ht="15.75" thickBot="1" x14ac:dyDescent="0.3">
      <c r="A8"/>
      <c r="B8"/>
      <c r="C8"/>
      <c r="D8"/>
      <c r="E8"/>
      <c r="F8"/>
      <c r="G8"/>
      <c r="H8"/>
      <c r="I8"/>
      <c r="J8"/>
      <c r="K8"/>
      <c r="L8"/>
      <c r="M8"/>
    </row>
    <row r="9" spans="1:14" ht="26.1" customHeight="1" x14ac:dyDescent="0.15">
      <c r="A9" s="651" t="s">
        <v>137</v>
      </c>
      <c r="B9" s="639" t="s">
        <v>30</v>
      </c>
      <c r="C9" s="639" t="s">
        <v>160</v>
      </c>
      <c r="D9" s="639" t="s">
        <v>239</v>
      </c>
      <c r="E9" s="639" t="s">
        <v>245</v>
      </c>
      <c r="F9" s="639" t="s">
        <v>167</v>
      </c>
      <c r="G9" s="639" t="s">
        <v>231</v>
      </c>
      <c r="H9" s="639" t="s">
        <v>246</v>
      </c>
      <c r="I9" s="651" t="s">
        <v>168</v>
      </c>
      <c r="J9" s="956" t="s">
        <v>242</v>
      </c>
      <c r="K9" s="957"/>
      <c r="L9" s="957"/>
      <c r="M9" s="958"/>
      <c r="N9" s="2"/>
    </row>
    <row r="10" spans="1:14" ht="23.1" customHeight="1" x14ac:dyDescent="0.15">
      <c r="A10" s="652"/>
      <c r="B10" s="640"/>
      <c r="C10" s="640"/>
      <c r="D10" s="640"/>
      <c r="E10" s="640"/>
      <c r="F10" s="640"/>
      <c r="G10" s="640"/>
      <c r="H10" s="640"/>
      <c r="I10" s="652"/>
      <c r="J10" s="959" t="s">
        <v>241</v>
      </c>
      <c r="K10" s="875"/>
      <c r="L10" s="875"/>
      <c r="M10" s="876"/>
      <c r="N10" s="2"/>
    </row>
    <row r="11" spans="1:14" ht="66" customHeight="1" thickBot="1" x14ac:dyDescent="0.2">
      <c r="A11" s="653"/>
      <c r="B11" s="641"/>
      <c r="C11" s="641"/>
      <c r="D11" s="641"/>
      <c r="E11" s="641"/>
      <c r="F11" s="641"/>
      <c r="G11" s="641"/>
      <c r="H11" s="641"/>
      <c r="I11" s="653"/>
      <c r="J11" s="443" t="s">
        <v>240</v>
      </c>
      <c r="K11" s="452" t="s">
        <v>243</v>
      </c>
      <c r="L11" s="452" t="s">
        <v>247</v>
      </c>
      <c r="M11" s="452" t="s">
        <v>244</v>
      </c>
    </row>
    <row r="12" spans="1:14" ht="15.75" thickBot="1" x14ac:dyDescent="0.2">
      <c r="A12" s="195"/>
      <c r="B12" s="71"/>
      <c r="C12" s="71"/>
      <c r="D12" s="71"/>
      <c r="E12" s="71"/>
      <c r="F12" s="71"/>
      <c r="G12" s="71"/>
      <c r="H12" s="71"/>
      <c r="I12" s="71"/>
      <c r="J12" s="71"/>
      <c r="K12" s="71"/>
      <c r="L12" s="196"/>
      <c r="M12" s="196"/>
    </row>
    <row r="13" spans="1:14" ht="15.75" thickBot="1" x14ac:dyDescent="0.2">
      <c r="A13" s="195"/>
      <c r="B13" s="71"/>
      <c r="C13" s="71"/>
      <c r="D13" s="71"/>
      <c r="E13" s="71"/>
      <c r="F13" s="71"/>
      <c r="G13" s="71"/>
      <c r="H13" s="71"/>
      <c r="I13" s="71"/>
      <c r="J13" s="71"/>
      <c r="K13" s="71"/>
      <c r="L13" s="196"/>
      <c r="M13" s="196"/>
    </row>
    <row r="14" spans="1:14" ht="15.75" thickBot="1" x14ac:dyDescent="0.2">
      <c r="A14" s="195"/>
      <c r="B14" s="71"/>
      <c r="C14" s="71"/>
      <c r="D14" s="71"/>
      <c r="E14" s="71"/>
      <c r="F14" s="71"/>
      <c r="G14" s="71"/>
      <c r="H14" s="71"/>
      <c r="I14" s="71"/>
      <c r="J14" s="71"/>
      <c r="K14" s="71"/>
      <c r="L14" s="196"/>
      <c r="M14" s="196"/>
    </row>
    <row r="15" spans="1:14" ht="15.75" thickBot="1" x14ac:dyDescent="0.2">
      <c r="A15" s="197"/>
      <c r="B15" s="198"/>
      <c r="C15" s="198"/>
      <c r="D15" s="198"/>
      <c r="E15" s="198"/>
      <c r="F15" s="198"/>
      <c r="G15" s="198"/>
      <c r="H15" s="198"/>
      <c r="I15" s="198"/>
      <c r="J15" s="198"/>
      <c r="K15" s="71"/>
      <c r="L15" s="198"/>
      <c r="M15" s="198"/>
    </row>
    <row r="16" spans="1:14" ht="15.75" thickBot="1" x14ac:dyDescent="0.2">
      <c r="A16" s="197"/>
      <c r="B16" s="198"/>
      <c r="C16" s="198"/>
      <c r="D16" s="198"/>
      <c r="E16" s="198"/>
      <c r="F16" s="198"/>
      <c r="G16" s="198"/>
      <c r="H16" s="198"/>
      <c r="I16" s="198"/>
      <c r="J16" s="198"/>
      <c r="K16" s="71"/>
      <c r="L16" s="198"/>
      <c r="M16" s="198"/>
    </row>
    <row r="17" spans="1:13" ht="15.75" thickBot="1" x14ac:dyDescent="0.2">
      <c r="A17" s="197"/>
      <c r="B17" s="198"/>
      <c r="C17" s="198"/>
      <c r="D17" s="198"/>
      <c r="E17" s="198"/>
      <c r="F17" s="198"/>
      <c r="G17" s="198"/>
      <c r="H17" s="198"/>
      <c r="I17" s="198"/>
      <c r="J17" s="198"/>
      <c r="K17" s="198"/>
      <c r="L17" s="198"/>
      <c r="M17" s="198"/>
    </row>
    <row r="18" spans="1:13" ht="15.75" thickBot="1" x14ac:dyDescent="0.2">
      <c r="A18" s="197"/>
      <c r="B18" s="198"/>
      <c r="C18" s="198"/>
      <c r="D18" s="198"/>
      <c r="E18" s="198"/>
      <c r="F18" s="198"/>
      <c r="G18" s="198"/>
      <c r="H18" s="198"/>
      <c r="I18" s="198"/>
      <c r="J18" s="198"/>
      <c r="K18" s="198"/>
      <c r="L18" s="198"/>
      <c r="M18" s="198"/>
    </row>
    <row r="19" spans="1:13" ht="15.75" thickBot="1" x14ac:dyDescent="0.2">
      <c r="A19" s="197"/>
      <c r="B19" s="198"/>
      <c r="C19" s="198"/>
      <c r="D19" s="198"/>
      <c r="E19" s="198"/>
      <c r="F19" s="198"/>
      <c r="G19" s="198"/>
      <c r="H19" s="198"/>
      <c r="I19" s="198"/>
      <c r="J19" s="198"/>
      <c r="K19" s="198"/>
      <c r="L19" s="198"/>
      <c r="M19" s="198"/>
    </row>
    <row r="20" spans="1:13" ht="15.75" thickBot="1" x14ac:dyDescent="0.2">
      <c r="A20" s="197"/>
      <c r="B20" s="198"/>
      <c r="C20" s="198"/>
      <c r="D20" s="198"/>
      <c r="E20" s="198"/>
      <c r="F20" s="198"/>
      <c r="G20" s="198"/>
      <c r="H20" s="198"/>
      <c r="I20" s="198"/>
      <c r="J20" s="198"/>
      <c r="K20" s="198"/>
      <c r="L20" s="198"/>
      <c r="M20" s="198"/>
    </row>
    <row r="21" spans="1:13" ht="15.75" thickBot="1" x14ac:dyDescent="0.2">
      <c r="A21" s="197"/>
      <c r="B21" s="198"/>
      <c r="C21" s="198"/>
      <c r="D21" s="198"/>
      <c r="E21" s="198"/>
      <c r="F21" s="198"/>
      <c r="G21" s="198"/>
      <c r="H21" s="198"/>
      <c r="I21" s="198"/>
      <c r="J21" s="198"/>
      <c r="K21" s="198"/>
      <c r="L21" s="198"/>
      <c r="M21" s="198"/>
    </row>
    <row r="22" spans="1:13" ht="15.75" thickBot="1" x14ac:dyDescent="0.2">
      <c r="A22" s="197"/>
      <c r="B22" s="198"/>
      <c r="C22" s="198"/>
      <c r="D22" s="198"/>
      <c r="E22" s="198"/>
      <c r="F22" s="198"/>
      <c r="G22" s="198"/>
      <c r="H22" s="198"/>
      <c r="I22" s="198"/>
      <c r="J22" s="198"/>
      <c r="K22" s="198"/>
      <c r="L22" s="198"/>
      <c r="M22" s="198"/>
    </row>
    <row r="23" spans="1:13" ht="15.75" thickBot="1" x14ac:dyDescent="0.2">
      <c r="A23" s="197"/>
      <c r="B23" s="198"/>
      <c r="C23" s="198"/>
      <c r="D23" s="198"/>
      <c r="E23" s="198"/>
      <c r="F23" s="198"/>
      <c r="G23" s="198"/>
      <c r="H23" s="198"/>
      <c r="I23" s="198"/>
      <c r="J23" s="198"/>
      <c r="K23" s="198"/>
      <c r="L23" s="198"/>
      <c r="M23" s="198"/>
    </row>
    <row r="24" spans="1:13" ht="15.75" thickBot="1" x14ac:dyDescent="0.2">
      <c r="A24" s="197"/>
      <c r="B24" s="198"/>
      <c r="C24" s="198"/>
      <c r="D24" s="198"/>
      <c r="E24" s="198"/>
      <c r="F24" s="198"/>
      <c r="G24" s="198"/>
      <c r="H24" s="198"/>
      <c r="I24" s="198"/>
      <c r="J24" s="198"/>
      <c r="K24" s="198"/>
      <c r="L24" s="198"/>
      <c r="M24" s="198"/>
    </row>
    <row r="25" spans="1:13" ht="15.75" thickBot="1" x14ac:dyDescent="0.2">
      <c r="A25" s="197"/>
      <c r="B25" s="198"/>
      <c r="C25" s="198"/>
      <c r="D25" s="198"/>
      <c r="E25" s="198"/>
      <c r="F25" s="198"/>
      <c r="G25" s="198"/>
      <c r="H25" s="198"/>
      <c r="I25" s="198"/>
      <c r="J25" s="198"/>
      <c r="K25" s="198"/>
      <c r="L25" s="198"/>
      <c r="M25" s="198"/>
    </row>
    <row r="26" spans="1:13" ht="15.75" thickBot="1" x14ac:dyDescent="0.2">
      <c r="A26" s="197"/>
      <c r="B26" s="198"/>
      <c r="C26" s="198"/>
      <c r="D26" s="198"/>
      <c r="E26" s="198"/>
      <c r="F26" s="198"/>
      <c r="G26" s="198"/>
      <c r="H26" s="198"/>
      <c r="I26" s="198"/>
      <c r="J26" s="198"/>
      <c r="K26" s="198"/>
      <c r="L26" s="198"/>
      <c r="M26" s="198"/>
    </row>
    <row r="27" spans="1:13" ht="15.75" thickBot="1" x14ac:dyDescent="0.2">
      <c r="A27" s="197"/>
      <c r="B27" s="198"/>
      <c r="C27" s="198"/>
      <c r="D27" s="198"/>
      <c r="E27" s="198"/>
      <c r="F27" s="198"/>
      <c r="G27" s="198"/>
      <c r="H27" s="198"/>
      <c r="I27" s="198"/>
      <c r="J27" s="198"/>
      <c r="K27" s="198"/>
      <c r="L27" s="198"/>
      <c r="M27" s="198"/>
    </row>
    <row r="28" spans="1:13" ht="15.75" thickBot="1" x14ac:dyDescent="0.2">
      <c r="A28" s="197"/>
      <c r="B28" s="198"/>
      <c r="C28" s="198"/>
      <c r="D28" s="198"/>
      <c r="E28" s="198"/>
      <c r="F28" s="198"/>
      <c r="G28" s="198"/>
      <c r="H28" s="198"/>
      <c r="I28" s="198"/>
      <c r="J28" s="198"/>
      <c r="K28" s="198"/>
      <c r="L28" s="198"/>
      <c r="M28" s="198"/>
    </row>
    <row r="29" spans="1:13" ht="15.75" thickBot="1" x14ac:dyDescent="0.2">
      <c r="A29" s="197"/>
      <c r="B29" s="198"/>
      <c r="C29" s="198"/>
      <c r="D29" s="198"/>
      <c r="E29" s="198"/>
      <c r="F29" s="198"/>
      <c r="G29" s="198"/>
      <c r="H29" s="198"/>
      <c r="I29" s="198"/>
      <c r="J29" s="198"/>
      <c r="K29" s="198"/>
      <c r="L29" s="198"/>
      <c r="M29" s="198"/>
    </row>
    <row r="30" spans="1:13" ht="15.75" thickBot="1" x14ac:dyDescent="0.2">
      <c r="A30" s="197"/>
      <c r="B30" s="198"/>
      <c r="C30" s="198"/>
      <c r="D30" s="198"/>
      <c r="E30" s="198"/>
      <c r="F30" s="198"/>
      <c r="G30" s="198"/>
      <c r="H30" s="198"/>
      <c r="I30" s="198"/>
      <c r="J30" s="198"/>
      <c r="K30" s="198"/>
      <c r="L30" s="198"/>
      <c r="M30" s="198"/>
    </row>
    <row r="31" spans="1:13" ht="15" x14ac:dyDescent="0.15">
      <c r="A31" s="68"/>
      <c r="B31" s="22"/>
      <c r="C31" s="22"/>
      <c r="D31" s="22"/>
      <c r="E31" s="22"/>
      <c r="F31" s="22"/>
      <c r="G31" s="22"/>
      <c r="H31" s="22"/>
      <c r="I31" s="22"/>
      <c r="J31" s="22"/>
      <c r="K31" s="22"/>
      <c r="L31" s="22"/>
      <c r="M31" s="22"/>
    </row>
    <row r="32" spans="1:13" ht="15" x14ac:dyDescent="0.25">
      <c r="A32"/>
      <c r="B32"/>
      <c r="C32"/>
      <c r="D32"/>
      <c r="E32"/>
      <c r="F32"/>
      <c r="G32"/>
      <c r="H32"/>
      <c r="I32"/>
      <c r="J32"/>
      <c r="K32"/>
      <c r="L32"/>
      <c r="M32"/>
    </row>
    <row r="33" spans="1:14" ht="15" x14ac:dyDescent="0.25">
      <c r="A33"/>
      <c r="B33"/>
      <c r="C33"/>
      <c r="D33"/>
      <c r="E33"/>
      <c r="F33"/>
      <c r="G33"/>
      <c r="H33"/>
      <c r="I33"/>
      <c r="J33"/>
      <c r="K33"/>
      <c r="L33"/>
      <c r="M33"/>
    </row>
    <row r="34" spans="1:14" ht="15" x14ac:dyDescent="0.25">
      <c r="A34" s="760" t="s">
        <v>225</v>
      </c>
      <c r="B34" s="760"/>
      <c r="C34"/>
      <c r="D34"/>
      <c r="E34"/>
      <c r="F34"/>
      <c r="G34"/>
      <c r="H34"/>
      <c r="I34"/>
      <c r="J34"/>
      <c r="K34"/>
      <c r="L34"/>
      <c r="M34"/>
    </row>
    <row r="35" spans="1:14" ht="15.75" thickBot="1" x14ac:dyDescent="0.3">
      <c r="A35"/>
      <c r="B35"/>
      <c r="C35"/>
      <c r="D35"/>
      <c r="E35"/>
      <c r="F35"/>
      <c r="G35"/>
      <c r="H35"/>
      <c r="I35"/>
      <c r="J35"/>
      <c r="K35"/>
      <c r="L35"/>
      <c r="M35"/>
    </row>
    <row r="36" spans="1:14" ht="15.75" thickBot="1" x14ac:dyDescent="0.2">
      <c r="A36" s="950" t="s">
        <v>160</v>
      </c>
      <c r="B36" s="950" t="s">
        <v>481</v>
      </c>
      <c r="C36" s="610" t="s">
        <v>226</v>
      </c>
      <c r="D36" s="611"/>
      <c r="E36" s="611"/>
      <c r="F36" s="612"/>
      <c r="G36" s="610" t="s">
        <v>226</v>
      </c>
      <c r="H36" s="611"/>
      <c r="I36" s="611"/>
      <c r="J36" s="612"/>
      <c r="K36" s="22"/>
      <c r="L36" s="22"/>
      <c r="M36" s="22"/>
      <c r="N36" s="29"/>
    </row>
    <row r="37" spans="1:14" ht="12" customHeight="1" thickBot="1" x14ac:dyDescent="0.3">
      <c r="A37" s="951"/>
      <c r="B37" s="951"/>
      <c r="C37" s="953" t="s">
        <v>165</v>
      </c>
      <c r="D37" s="954"/>
      <c r="E37" s="954"/>
      <c r="F37" s="955"/>
      <c r="G37" s="953" t="s">
        <v>165</v>
      </c>
      <c r="H37" s="954"/>
      <c r="I37" s="954"/>
      <c r="J37" s="955"/>
      <c r="K37"/>
      <c r="L37"/>
      <c r="M37"/>
    </row>
    <row r="38" spans="1:14" ht="15.75" thickBot="1" x14ac:dyDescent="0.3">
      <c r="A38" s="952"/>
      <c r="B38" s="952"/>
      <c r="C38" s="71" t="s">
        <v>162</v>
      </c>
      <c r="D38" s="71" t="s">
        <v>163</v>
      </c>
      <c r="E38" s="71" t="s">
        <v>164</v>
      </c>
      <c r="F38" s="71" t="s">
        <v>161</v>
      </c>
      <c r="G38" s="71" t="s">
        <v>162</v>
      </c>
      <c r="H38" s="71" t="s">
        <v>163</v>
      </c>
      <c r="I38" s="71" t="s">
        <v>164</v>
      </c>
      <c r="J38" s="71" t="s">
        <v>161</v>
      </c>
      <c r="K38" s="467"/>
      <c r="L38" s="108"/>
      <c r="M38"/>
    </row>
    <row r="39" spans="1:14" ht="15.75" thickBot="1" x14ac:dyDescent="0.3">
      <c r="A39" s="195"/>
      <c r="B39" s="71"/>
      <c r="C39" s="71"/>
      <c r="D39" s="200"/>
      <c r="E39" s="200"/>
      <c r="F39" s="200"/>
      <c r="G39" s="71"/>
      <c r="H39" s="200"/>
      <c r="I39" s="200"/>
      <c r="J39" s="200"/>
      <c r="K39" s="467"/>
      <c r="L39" s="108"/>
      <c r="M39"/>
    </row>
    <row r="40" spans="1:14" ht="15.75" thickBot="1" x14ac:dyDescent="0.3">
      <c r="A40" s="195"/>
      <c r="B40" s="71"/>
      <c r="C40" s="71"/>
      <c r="D40" s="200"/>
      <c r="E40" s="200"/>
      <c r="F40" s="200"/>
      <c r="G40" s="71"/>
      <c r="H40" s="200"/>
      <c r="I40" s="200"/>
      <c r="J40" s="200"/>
      <c r="K40" s="467"/>
      <c r="L40" s="108"/>
      <c r="M40"/>
    </row>
    <row r="41" spans="1:14" ht="15.75" thickBot="1" x14ac:dyDescent="0.3">
      <c r="A41" s="195"/>
      <c r="B41" s="71"/>
      <c r="C41" s="71"/>
      <c r="D41" s="200"/>
      <c r="E41" s="200"/>
      <c r="F41" s="200"/>
      <c r="G41" s="71"/>
      <c r="H41" s="200"/>
      <c r="I41" s="200"/>
      <c r="J41" s="200"/>
      <c r="K41" s="467"/>
      <c r="L41" s="108"/>
      <c r="M41"/>
    </row>
    <row r="42" spans="1:14" ht="15.75" thickBot="1" x14ac:dyDescent="0.3">
      <c r="A42" s="195"/>
      <c r="B42" s="71"/>
      <c r="C42" s="71"/>
      <c r="D42" s="200"/>
      <c r="E42" s="200"/>
      <c r="F42" s="200"/>
      <c r="G42" s="71"/>
      <c r="H42" s="200"/>
      <c r="I42" s="200"/>
      <c r="J42" s="200"/>
      <c r="K42" s="467"/>
      <c r="L42" s="108"/>
      <c r="M42"/>
    </row>
    <row r="43" spans="1:14" ht="15.75" thickBot="1" x14ac:dyDescent="0.3">
      <c r="A43" s="195"/>
      <c r="B43" s="71"/>
      <c r="C43" s="71"/>
      <c r="D43" s="200"/>
      <c r="E43" s="200"/>
      <c r="F43" s="200"/>
      <c r="G43" s="71"/>
      <c r="H43" s="200"/>
      <c r="I43" s="200"/>
      <c r="J43" s="200"/>
      <c r="K43" s="68"/>
      <c r="L43" s="68"/>
      <c r="M43"/>
    </row>
    <row r="44" spans="1:14" ht="15.75" thickBot="1" x14ac:dyDescent="0.3">
      <c r="A44" s="66"/>
      <c r="B44" s="66"/>
      <c r="C44" s="66"/>
      <c r="D44" s="68"/>
      <c r="E44" s="68"/>
      <c r="F44" s="68"/>
      <c r="G44" s="66"/>
      <c r="H44" s="68"/>
      <c r="I44" s="68"/>
      <c r="J44" s="68"/>
      <c r="K44" s="68"/>
      <c r="L44" s="68"/>
      <c r="M44"/>
    </row>
    <row r="45" spans="1:14" ht="15" customHeight="1" thickBot="1" x14ac:dyDescent="0.2">
      <c r="A45" s="950" t="s">
        <v>160</v>
      </c>
      <c r="B45" s="950" t="s">
        <v>481</v>
      </c>
      <c r="C45" s="610" t="s">
        <v>226</v>
      </c>
      <c r="D45" s="611"/>
      <c r="E45" s="611"/>
      <c r="F45" s="612"/>
      <c r="G45" s="610" t="s">
        <v>226</v>
      </c>
      <c r="H45" s="611"/>
      <c r="I45" s="611"/>
      <c r="J45" s="612"/>
      <c r="K45" s="68"/>
      <c r="L45" s="68"/>
      <c r="M45" s="22"/>
      <c r="N45" s="29"/>
    </row>
    <row r="46" spans="1:14" ht="12" customHeight="1" thickBot="1" x14ac:dyDescent="0.3">
      <c r="A46" s="951"/>
      <c r="B46" s="951"/>
      <c r="C46" s="953" t="s">
        <v>165</v>
      </c>
      <c r="D46" s="954"/>
      <c r="E46" s="954"/>
      <c r="F46" s="955"/>
      <c r="G46" s="953" t="s">
        <v>165</v>
      </c>
      <c r="H46" s="954"/>
      <c r="I46" s="954"/>
      <c r="J46" s="955"/>
      <c r="K46"/>
      <c r="L46"/>
      <c r="M46"/>
    </row>
    <row r="47" spans="1:14" ht="15.75" thickBot="1" x14ac:dyDescent="0.3">
      <c r="A47" s="952"/>
      <c r="B47" s="952"/>
      <c r="C47" s="71" t="s">
        <v>162</v>
      </c>
      <c r="D47" s="71" t="s">
        <v>163</v>
      </c>
      <c r="E47" s="71" t="s">
        <v>164</v>
      </c>
      <c r="F47" s="71" t="s">
        <v>161</v>
      </c>
      <c r="G47" s="71" t="s">
        <v>162</v>
      </c>
      <c r="H47" s="71" t="s">
        <v>163</v>
      </c>
      <c r="I47" s="71" t="s">
        <v>164</v>
      </c>
      <c r="J47" s="71" t="s">
        <v>161</v>
      </c>
      <c r="K47"/>
      <c r="L47"/>
      <c r="M47"/>
    </row>
    <row r="48" spans="1:14" ht="15.75" thickBot="1" x14ac:dyDescent="0.3">
      <c r="A48" s="195"/>
      <c r="B48" s="71"/>
      <c r="C48" s="71"/>
      <c r="D48" s="200"/>
      <c r="E48" s="200"/>
      <c r="F48" s="200"/>
      <c r="G48" s="71"/>
      <c r="H48" s="200"/>
      <c r="I48" s="200"/>
      <c r="J48" s="200"/>
      <c r="K48"/>
      <c r="L48"/>
      <c r="M48"/>
    </row>
    <row r="49" spans="1:13" ht="15.75" thickBot="1" x14ac:dyDescent="0.3">
      <c r="A49" s="195"/>
      <c r="B49" s="71"/>
      <c r="C49" s="71"/>
      <c r="D49" s="200"/>
      <c r="E49" s="200"/>
      <c r="F49" s="200"/>
      <c r="G49" s="71"/>
      <c r="H49" s="200"/>
      <c r="I49" s="200"/>
      <c r="J49" s="200"/>
      <c r="K49"/>
      <c r="L49"/>
      <c r="M49"/>
    </row>
    <row r="50" spans="1:13" ht="15.75" thickBot="1" x14ac:dyDescent="0.3">
      <c r="A50" s="195"/>
      <c r="B50" s="71"/>
      <c r="C50" s="71"/>
      <c r="D50" s="200"/>
      <c r="E50" s="200"/>
      <c r="F50" s="200"/>
      <c r="G50" s="71"/>
      <c r="H50" s="200"/>
      <c r="I50" s="200"/>
      <c r="J50" s="200"/>
      <c r="K50"/>
      <c r="L50"/>
      <c r="M50"/>
    </row>
    <row r="51" spans="1:13" ht="15.75" thickBot="1" x14ac:dyDescent="0.3">
      <c r="A51" s="195"/>
      <c r="B51" s="71"/>
      <c r="C51" s="71"/>
      <c r="D51" s="200"/>
      <c r="E51" s="200"/>
      <c r="F51" s="200"/>
      <c r="G51" s="71"/>
      <c r="H51" s="200"/>
      <c r="I51" s="200"/>
      <c r="J51" s="200"/>
      <c r="K51"/>
      <c r="L51"/>
      <c r="M51"/>
    </row>
    <row r="52" spans="1:13" ht="15.75" thickBot="1" x14ac:dyDescent="0.3">
      <c r="A52" s="195"/>
      <c r="B52" s="71"/>
      <c r="C52" s="71"/>
      <c r="D52" s="200"/>
      <c r="E52" s="200"/>
      <c r="F52" s="200"/>
      <c r="G52" s="71"/>
      <c r="H52" s="200"/>
      <c r="I52" s="200"/>
      <c r="J52" s="200"/>
      <c r="K52"/>
      <c r="L52"/>
      <c r="M52"/>
    </row>
    <row r="53" spans="1:13" ht="15.75" thickBot="1" x14ac:dyDescent="0.3">
      <c r="A53" s="195"/>
      <c r="B53" s="71"/>
      <c r="C53" s="71"/>
      <c r="D53" s="200"/>
      <c r="E53" s="200"/>
      <c r="F53" s="200"/>
      <c r="G53" s="71"/>
      <c r="H53" s="200"/>
      <c r="I53" s="200"/>
      <c r="J53" s="200"/>
      <c r="K53"/>
      <c r="L53"/>
      <c r="M53"/>
    </row>
    <row r="54" spans="1:13" ht="15.75" thickBot="1" x14ac:dyDescent="0.3">
      <c r="A54" s="195"/>
      <c r="B54" s="71"/>
      <c r="C54" s="71"/>
      <c r="D54" s="200"/>
      <c r="E54" s="200"/>
      <c r="F54" s="200"/>
      <c r="G54" s="71"/>
      <c r="H54" s="200"/>
      <c r="I54" s="200"/>
      <c r="J54" s="200"/>
      <c r="K54"/>
      <c r="L54"/>
      <c r="M54"/>
    </row>
    <row r="55" spans="1:13" ht="15.75" thickBot="1" x14ac:dyDescent="0.3">
      <c r="A55" s="66"/>
      <c r="B55" s="66"/>
      <c r="C55" s="66"/>
      <c r="D55" s="68"/>
      <c r="E55" s="68"/>
      <c r="F55" s="68"/>
      <c r="G55" s="66"/>
      <c r="H55" s="68"/>
      <c r="I55" s="68"/>
      <c r="J55" s="68"/>
      <c r="K55"/>
      <c r="L55"/>
      <c r="M55"/>
    </row>
    <row r="56" spans="1:13" ht="15" customHeight="1" thickBot="1" x14ac:dyDescent="0.3">
      <c r="A56" s="950" t="s">
        <v>160</v>
      </c>
      <c r="B56" s="950" t="s">
        <v>481</v>
      </c>
      <c r="C56" s="610" t="s">
        <v>226</v>
      </c>
      <c r="D56" s="611"/>
      <c r="E56" s="611"/>
      <c r="F56" s="612"/>
      <c r="G56" s="66"/>
      <c r="H56" s="68"/>
      <c r="I56" s="68"/>
      <c r="J56" s="68"/>
      <c r="K56"/>
      <c r="L56"/>
      <c r="M56"/>
    </row>
    <row r="57" spans="1:13" ht="15" customHeight="1" thickBot="1" x14ac:dyDescent="0.3">
      <c r="A57" s="951"/>
      <c r="B57" s="951"/>
      <c r="C57" s="953" t="s">
        <v>165</v>
      </c>
      <c r="D57" s="954"/>
      <c r="E57" s="954"/>
      <c r="F57" s="955"/>
      <c r="G57" s="66"/>
      <c r="H57" s="68"/>
      <c r="I57" s="68"/>
      <c r="J57" s="68"/>
      <c r="K57"/>
      <c r="L57"/>
      <c r="M57"/>
    </row>
    <row r="58" spans="1:13" ht="15.75" thickBot="1" x14ac:dyDescent="0.3">
      <c r="A58" s="952"/>
      <c r="B58" s="952"/>
      <c r="C58" s="71" t="s">
        <v>162</v>
      </c>
      <c r="D58" s="71" t="s">
        <v>163</v>
      </c>
      <c r="E58" s="71" t="s">
        <v>164</v>
      </c>
      <c r="F58" s="71" t="s">
        <v>161</v>
      </c>
      <c r="G58" s="66"/>
      <c r="H58" s="68"/>
      <c r="I58" s="68"/>
      <c r="J58" s="68"/>
      <c r="K58"/>
      <c r="L58"/>
      <c r="M58"/>
    </row>
    <row r="59" spans="1:13" ht="15.75" thickBot="1" x14ac:dyDescent="0.3">
      <c r="A59" s="195"/>
      <c r="B59" s="71"/>
      <c r="C59" s="71"/>
      <c r="D59" s="200"/>
      <c r="E59" s="200"/>
      <c r="F59" s="200"/>
      <c r="G59" s="66"/>
      <c r="H59" s="68"/>
      <c r="I59" s="68"/>
      <c r="J59" s="68"/>
      <c r="K59"/>
      <c r="L59"/>
      <c r="M59"/>
    </row>
    <row r="60" spans="1:13" ht="15.75" thickBot="1" x14ac:dyDescent="0.3">
      <c r="A60" s="195"/>
      <c r="B60" s="71"/>
      <c r="C60" s="71"/>
      <c r="D60" s="200"/>
      <c r="E60" s="200"/>
      <c r="F60" s="200"/>
      <c r="G60" s="66"/>
      <c r="H60" s="68"/>
      <c r="I60" s="68"/>
      <c r="J60" s="68"/>
      <c r="K60"/>
      <c r="L60"/>
      <c r="M60"/>
    </row>
    <row r="61" spans="1:13" ht="15.75" thickBot="1" x14ac:dyDescent="0.3">
      <c r="A61" s="195"/>
      <c r="B61" s="71"/>
      <c r="C61" s="71"/>
      <c r="D61" s="200"/>
      <c r="E61" s="200"/>
      <c r="F61" s="200"/>
      <c r="G61" s="66"/>
      <c r="H61" s="68"/>
      <c r="I61" s="68"/>
      <c r="J61" s="68"/>
      <c r="K61"/>
      <c r="L61"/>
      <c r="M61"/>
    </row>
    <row r="62" spans="1:13" ht="15.75" thickBot="1" x14ac:dyDescent="0.3">
      <c r="A62" s="195"/>
      <c r="B62" s="71"/>
      <c r="C62" s="71"/>
      <c r="D62" s="200"/>
      <c r="E62" s="200"/>
      <c r="F62" s="200"/>
      <c r="G62" s="66"/>
      <c r="H62" s="68"/>
      <c r="I62" s="68"/>
      <c r="J62" s="68"/>
      <c r="K62"/>
      <c r="L62"/>
      <c r="M62"/>
    </row>
    <row r="63" spans="1:13" ht="15.75" thickBot="1" x14ac:dyDescent="0.3">
      <c r="A63" s="195"/>
      <c r="B63" s="71"/>
      <c r="C63" s="71"/>
      <c r="D63" s="200"/>
      <c r="E63" s="200"/>
      <c r="F63" s="200"/>
      <c r="G63" s="66"/>
      <c r="H63" s="68"/>
      <c r="I63" s="68"/>
      <c r="J63" s="68"/>
      <c r="K63"/>
      <c r="L63"/>
      <c r="M63"/>
    </row>
    <row r="64" spans="1:13" ht="15.75" thickBot="1" x14ac:dyDescent="0.3">
      <c r="A64" s="195"/>
      <c r="B64" s="71"/>
      <c r="C64" s="71"/>
      <c r="D64" s="200"/>
      <c r="E64" s="200"/>
      <c r="F64" s="200"/>
      <c r="G64" s="66"/>
      <c r="H64" s="68"/>
      <c r="I64" s="68"/>
      <c r="J64" s="68"/>
      <c r="K64"/>
      <c r="L64"/>
      <c r="M64"/>
    </row>
    <row r="65" spans="1:13" ht="15" customHeight="1" thickBot="1" x14ac:dyDescent="0.3">
      <c r="A65" s="195"/>
      <c r="B65" s="71"/>
      <c r="C65" s="71"/>
      <c r="D65" s="200"/>
      <c r="E65" s="200"/>
      <c r="F65" s="200"/>
      <c r="G65" s="66"/>
      <c r="H65" s="68"/>
      <c r="I65" s="68"/>
      <c r="J65" s="68"/>
      <c r="K65"/>
      <c r="L65"/>
      <c r="M65"/>
    </row>
    <row r="66" spans="1:13" ht="15" customHeight="1" x14ac:dyDescent="0.25">
      <c r="A66" s="66"/>
      <c r="B66" s="66"/>
      <c r="C66" s="66"/>
      <c r="D66" s="68"/>
      <c r="E66" s="68"/>
      <c r="F66" s="68"/>
      <c r="G66" s="66"/>
      <c r="H66" s="68"/>
      <c r="I66" s="68"/>
      <c r="J66" s="68"/>
      <c r="K66"/>
      <c r="L66"/>
      <c r="M66"/>
    </row>
    <row r="67" spans="1:13" ht="15" x14ac:dyDescent="0.25">
      <c r="A67"/>
      <c r="B67"/>
      <c r="C67"/>
      <c r="D67"/>
      <c r="E67"/>
      <c r="F67"/>
      <c r="G67"/>
      <c r="H67"/>
      <c r="I67"/>
      <c r="J67"/>
      <c r="K67"/>
      <c r="L67"/>
      <c r="M67"/>
    </row>
    <row r="68" spans="1:13" ht="15" x14ac:dyDescent="0.25">
      <c r="A68"/>
      <c r="B68"/>
      <c r="C68"/>
      <c r="D68"/>
      <c r="E68"/>
      <c r="F68"/>
      <c r="G68"/>
      <c r="H68"/>
      <c r="I68"/>
      <c r="J68"/>
      <c r="K68"/>
      <c r="L68"/>
      <c r="M68"/>
    </row>
    <row r="69" spans="1:13" ht="15" x14ac:dyDescent="0.25">
      <c r="A69" s="760" t="s">
        <v>227</v>
      </c>
      <c r="B69" s="760"/>
      <c r="C69" s="760"/>
      <c r="D69"/>
      <c r="E69"/>
      <c r="F69"/>
      <c r="G69"/>
      <c r="H69"/>
      <c r="I69"/>
      <c r="J69"/>
      <c r="K69"/>
      <c r="L69"/>
      <c r="M69"/>
    </row>
    <row r="70" spans="1:13" ht="15.75" thickBot="1" x14ac:dyDescent="0.3">
      <c r="A70"/>
      <c r="B70"/>
      <c r="C70"/>
      <c r="D70"/>
      <c r="E70"/>
      <c r="F70"/>
      <c r="G70"/>
      <c r="H70"/>
      <c r="I70"/>
      <c r="J70"/>
      <c r="K70"/>
      <c r="L70"/>
      <c r="M70"/>
    </row>
    <row r="71" spans="1:13" ht="15" customHeight="1" thickBot="1" x14ac:dyDescent="0.3">
      <c r="A71" s="950" t="s">
        <v>160</v>
      </c>
      <c r="B71" s="950" t="s">
        <v>481</v>
      </c>
      <c r="C71" s="625" t="s">
        <v>228</v>
      </c>
      <c r="D71" s="960"/>
      <c r="E71" s="626"/>
      <c r="F71" s="625" t="s">
        <v>228</v>
      </c>
      <c r="G71" s="960"/>
      <c r="H71" s="626"/>
      <c r="I71" s="68"/>
      <c r="J71" s="68"/>
      <c r="K71"/>
      <c r="L71"/>
      <c r="M71"/>
    </row>
    <row r="72" spans="1:13" ht="30.75" thickBot="1" x14ac:dyDescent="0.3">
      <c r="A72" s="952"/>
      <c r="B72" s="952"/>
      <c r="C72" s="472" t="s">
        <v>483</v>
      </c>
      <c r="D72" s="472" t="s">
        <v>109</v>
      </c>
      <c r="E72" s="472" t="s">
        <v>229</v>
      </c>
      <c r="F72" s="472" t="s">
        <v>483</v>
      </c>
      <c r="G72" s="472" t="s">
        <v>109</v>
      </c>
      <c r="H72" s="472" t="s">
        <v>229</v>
      </c>
      <c r="I72"/>
      <c r="J72"/>
      <c r="K72"/>
      <c r="L72"/>
      <c r="M72"/>
    </row>
    <row r="73" spans="1:13" ht="15.75" thickBot="1" x14ac:dyDescent="0.3">
      <c r="A73" s="195"/>
      <c r="B73" s="71"/>
      <c r="C73" s="71"/>
      <c r="D73" s="71"/>
      <c r="E73" s="71"/>
      <c r="F73" s="71"/>
      <c r="G73" s="71"/>
      <c r="H73" s="71"/>
      <c r="I73"/>
      <c r="J73"/>
      <c r="K73"/>
      <c r="L73"/>
      <c r="M73"/>
    </row>
    <row r="74" spans="1:13" ht="15.75" thickBot="1" x14ac:dyDescent="0.3">
      <c r="A74" s="195"/>
      <c r="B74" s="71"/>
      <c r="C74" s="71"/>
      <c r="D74" s="71"/>
      <c r="E74" s="71"/>
      <c r="F74" s="71"/>
      <c r="G74" s="71"/>
      <c r="H74" s="71"/>
      <c r="I74"/>
      <c r="J74"/>
      <c r="K74"/>
      <c r="L74"/>
      <c r="M74"/>
    </row>
    <row r="75" spans="1:13" ht="15.75" thickBot="1" x14ac:dyDescent="0.3">
      <c r="A75" s="195"/>
      <c r="B75" s="71"/>
      <c r="C75" s="71"/>
      <c r="D75" s="71"/>
      <c r="E75" s="71"/>
      <c r="F75" s="71"/>
      <c r="G75" s="71"/>
      <c r="H75" s="71"/>
      <c r="I75"/>
      <c r="J75"/>
      <c r="K75"/>
      <c r="L75"/>
      <c r="M75"/>
    </row>
    <row r="76" spans="1:13" ht="15.75" thickBot="1" x14ac:dyDescent="0.3">
      <c r="A76" s="195"/>
      <c r="B76" s="71"/>
      <c r="C76" s="71"/>
      <c r="D76" s="71"/>
      <c r="E76" s="71"/>
      <c r="F76" s="71"/>
      <c r="G76" s="71"/>
      <c r="H76" s="71"/>
      <c r="I76"/>
      <c r="J76"/>
      <c r="K76"/>
      <c r="L76"/>
      <c r="M76"/>
    </row>
    <row r="77" spans="1:13" ht="15.75" thickBot="1" x14ac:dyDescent="0.3">
      <c r="A77" s="195"/>
      <c r="B77" s="71"/>
      <c r="C77" s="71"/>
      <c r="D77" s="71"/>
      <c r="E77" s="71"/>
      <c r="F77" s="71"/>
      <c r="G77" s="71"/>
      <c r="H77" s="71"/>
      <c r="I77"/>
      <c r="J77"/>
      <c r="K77"/>
      <c r="L77"/>
      <c r="M77"/>
    </row>
    <row r="78" spans="1:13" ht="15.75" thickBot="1" x14ac:dyDescent="0.3">
      <c r="A78" s="195"/>
      <c r="B78" s="71"/>
      <c r="C78" s="71"/>
      <c r="D78" s="71"/>
      <c r="E78" s="71"/>
      <c r="F78" s="71"/>
      <c r="G78" s="71"/>
      <c r="H78" s="71"/>
      <c r="I78"/>
      <c r="J78"/>
      <c r="K78"/>
      <c r="L78"/>
      <c r="M78"/>
    </row>
    <row r="79" spans="1:13" ht="15.75" thickBot="1" x14ac:dyDescent="0.3">
      <c r="A79"/>
      <c r="B79"/>
      <c r="C79"/>
      <c r="D79"/>
      <c r="E79"/>
      <c r="F79"/>
      <c r="G79"/>
      <c r="H79"/>
      <c r="I79"/>
      <c r="J79"/>
      <c r="K79"/>
      <c r="L79"/>
      <c r="M79"/>
    </row>
    <row r="80" spans="1:13" ht="15" customHeight="1" thickBot="1" x14ac:dyDescent="0.3">
      <c r="A80" s="950" t="s">
        <v>160</v>
      </c>
      <c r="B80" s="950" t="s">
        <v>481</v>
      </c>
      <c r="C80" s="625" t="s">
        <v>228</v>
      </c>
      <c r="D80" s="960"/>
      <c r="E80" s="626"/>
      <c r="F80" s="625" t="s">
        <v>228</v>
      </c>
      <c r="G80" s="960"/>
      <c r="H80" s="626"/>
      <c r="I80"/>
      <c r="J80"/>
      <c r="K80"/>
      <c r="L80"/>
      <c r="M80"/>
    </row>
    <row r="81" spans="1:13" ht="30.75" thickBot="1" x14ac:dyDescent="0.3">
      <c r="A81" s="952"/>
      <c r="B81" s="952"/>
      <c r="C81" s="472" t="s">
        <v>483</v>
      </c>
      <c r="D81" s="472" t="s">
        <v>109</v>
      </c>
      <c r="E81" s="472" t="s">
        <v>229</v>
      </c>
      <c r="F81" s="472" t="s">
        <v>483</v>
      </c>
      <c r="G81" s="472" t="s">
        <v>109</v>
      </c>
      <c r="H81" s="472" t="s">
        <v>229</v>
      </c>
      <c r="I81"/>
      <c r="J81"/>
      <c r="K81"/>
      <c r="L81"/>
      <c r="M81"/>
    </row>
    <row r="82" spans="1:13" ht="15.75" thickBot="1" x14ac:dyDescent="0.3">
      <c r="A82" s="195"/>
      <c r="B82" s="71"/>
      <c r="C82" s="71"/>
      <c r="D82" s="71"/>
      <c r="E82" s="71"/>
      <c r="F82" s="71"/>
      <c r="G82" s="71"/>
      <c r="H82" s="71"/>
      <c r="I82"/>
      <c r="J82"/>
      <c r="K82"/>
      <c r="L82"/>
      <c r="M82"/>
    </row>
    <row r="83" spans="1:13" ht="15.75" thickBot="1" x14ac:dyDescent="0.3">
      <c r="A83" s="195"/>
      <c r="B83" s="71"/>
      <c r="C83" s="71"/>
      <c r="D83" s="71"/>
      <c r="E83" s="71"/>
      <c r="F83" s="71"/>
      <c r="G83" s="71"/>
      <c r="H83" s="71"/>
      <c r="I83"/>
      <c r="J83"/>
      <c r="K83"/>
      <c r="L83"/>
      <c r="M83"/>
    </row>
    <row r="84" spans="1:13" ht="15.75" thickBot="1" x14ac:dyDescent="0.3">
      <c r="A84" s="195"/>
      <c r="B84" s="71"/>
      <c r="C84" s="71"/>
      <c r="D84" s="71"/>
      <c r="E84" s="71"/>
      <c r="F84" s="71"/>
      <c r="G84" s="71"/>
      <c r="H84" s="71"/>
      <c r="I84"/>
      <c r="J84"/>
      <c r="K84"/>
      <c r="L84"/>
      <c r="M84"/>
    </row>
    <row r="85" spans="1:13" ht="15.75" thickBot="1" x14ac:dyDescent="0.3">
      <c r="A85" s="195"/>
      <c r="B85" s="71"/>
      <c r="C85" s="71"/>
      <c r="D85" s="71"/>
      <c r="E85" s="71"/>
      <c r="F85" s="71"/>
      <c r="G85" s="71"/>
      <c r="H85" s="71"/>
      <c r="I85"/>
      <c r="J85"/>
      <c r="K85"/>
      <c r="L85"/>
      <c r="M85"/>
    </row>
    <row r="86" spans="1:13" ht="15.75" thickBot="1" x14ac:dyDescent="0.3">
      <c r="A86" s="195"/>
      <c r="B86" s="71"/>
      <c r="C86" s="71"/>
      <c r="D86" s="71"/>
      <c r="E86" s="71"/>
      <c r="F86" s="71"/>
      <c r="G86" s="71"/>
      <c r="H86" s="71"/>
      <c r="I86"/>
      <c r="J86"/>
      <c r="K86"/>
      <c r="L86"/>
      <c r="M86"/>
    </row>
    <row r="87" spans="1:13" ht="15.75" thickBot="1" x14ac:dyDescent="0.3">
      <c r="A87" s="195"/>
      <c r="B87" s="71"/>
      <c r="C87" s="71"/>
      <c r="D87" s="71"/>
      <c r="E87" s="71"/>
      <c r="F87" s="71"/>
      <c r="G87" s="71"/>
      <c r="H87" s="71"/>
      <c r="I87"/>
      <c r="J87"/>
      <c r="K87"/>
      <c r="L87"/>
      <c r="M87"/>
    </row>
    <row r="88" spans="1:13" ht="15.75" thickBot="1" x14ac:dyDescent="0.3">
      <c r="A88" s="66"/>
      <c r="B88" s="66"/>
      <c r="C88" s="66"/>
      <c r="D88" s="66"/>
      <c r="E88" s="66"/>
      <c r="F88" s="66"/>
      <c r="G88" s="66"/>
      <c r="H88" s="66"/>
      <c r="I88"/>
      <c r="J88"/>
      <c r="K88"/>
      <c r="L88"/>
      <c r="M88"/>
    </row>
    <row r="89" spans="1:13" ht="15" customHeight="1" thickBot="1" x14ac:dyDescent="0.3">
      <c r="A89" s="950" t="s">
        <v>160</v>
      </c>
      <c r="B89" s="950" t="s">
        <v>482</v>
      </c>
      <c r="C89" s="625" t="s">
        <v>228</v>
      </c>
      <c r="D89" s="960"/>
      <c r="E89" s="626"/>
      <c r="F89" s="66"/>
      <c r="G89" s="66"/>
      <c r="H89" s="66"/>
      <c r="I89"/>
      <c r="J89"/>
      <c r="K89"/>
      <c r="L89"/>
      <c r="M89"/>
    </row>
    <row r="90" spans="1:13" ht="30.75" thickBot="1" x14ac:dyDescent="0.3">
      <c r="A90" s="952"/>
      <c r="B90" s="952"/>
      <c r="C90" s="472" t="s">
        <v>483</v>
      </c>
      <c r="D90" s="472" t="s">
        <v>109</v>
      </c>
      <c r="E90" s="472" t="s">
        <v>229</v>
      </c>
      <c r="F90" s="66"/>
      <c r="G90" s="66"/>
      <c r="H90" s="66"/>
      <c r="I90"/>
      <c r="J90"/>
      <c r="K90"/>
      <c r="L90"/>
      <c r="M90"/>
    </row>
    <row r="91" spans="1:13" ht="15.75" thickBot="1" x14ac:dyDescent="0.3">
      <c r="A91" s="195"/>
      <c r="B91" s="71"/>
      <c r="C91" s="71"/>
      <c r="D91" s="71"/>
      <c r="E91" s="71"/>
      <c r="F91" s="66"/>
      <c r="G91" s="66"/>
      <c r="H91" s="66"/>
      <c r="I91"/>
      <c r="J91"/>
      <c r="K91"/>
      <c r="L91"/>
      <c r="M91"/>
    </row>
    <row r="92" spans="1:13" ht="15.75" thickBot="1" x14ac:dyDescent="0.3">
      <c r="A92" s="195"/>
      <c r="B92" s="71"/>
      <c r="C92" s="71"/>
      <c r="D92" s="71"/>
      <c r="E92" s="71"/>
      <c r="F92"/>
      <c r="G92"/>
      <c r="H92"/>
      <c r="I92"/>
      <c r="J92"/>
      <c r="K92"/>
      <c r="L92"/>
      <c r="M92"/>
    </row>
    <row r="93" spans="1:13" ht="15.75" thickBot="1" x14ac:dyDescent="0.3">
      <c r="A93" s="195"/>
      <c r="B93" s="71"/>
      <c r="C93" s="71"/>
      <c r="D93" s="71"/>
      <c r="E93" s="71"/>
      <c r="F93"/>
      <c r="G93"/>
      <c r="H93"/>
      <c r="I93"/>
      <c r="J93"/>
      <c r="K93"/>
      <c r="L93"/>
      <c r="M93"/>
    </row>
    <row r="94" spans="1:13" ht="15.75" thickBot="1" x14ac:dyDescent="0.3">
      <c r="A94" s="195"/>
      <c r="B94" s="71"/>
      <c r="C94" s="71"/>
      <c r="D94" s="71"/>
      <c r="E94" s="71"/>
      <c r="F94"/>
      <c r="G94"/>
      <c r="H94"/>
      <c r="I94"/>
      <c r="J94"/>
      <c r="K94"/>
      <c r="L94"/>
      <c r="M94"/>
    </row>
    <row r="95" spans="1:13" ht="15.75" thickBot="1" x14ac:dyDescent="0.3">
      <c r="A95" s="195"/>
      <c r="B95" s="71"/>
      <c r="C95" s="71"/>
      <c r="D95" s="71"/>
      <c r="E95" s="71"/>
      <c r="F95"/>
      <c r="G95"/>
      <c r="H95"/>
      <c r="I95"/>
      <c r="J95"/>
      <c r="K95"/>
      <c r="L95"/>
      <c r="M95"/>
    </row>
    <row r="96" spans="1:13" ht="15.75" thickBot="1" x14ac:dyDescent="0.3">
      <c r="A96" s="195"/>
      <c r="B96" s="71"/>
      <c r="C96" s="71"/>
      <c r="D96" s="71"/>
      <c r="E96" s="71"/>
      <c r="F96"/>
      <c r="G96"/>
      <c r="H96"/>
      <c r="I96"/>
      <c r="J96"/>
      <c r="K96"/>
      <c r="L96"/>
      <c r="M96"/>
    </row>
    <row r="97" spans="1:13" ht="15" x14ac:dyDescent="0.25">
      <c r="A97"/>
      <c r="B97"/>
      <c r="C97"/>
      <c r="D97"/>
      <c r="E97"/>
      <c r="F97"/>
      <c r="G97"/>
      <c r="H97"/>
      <c r="I97"/>
      <c r="J97"/>
      <c r="K97"/>
      <c r="L97"/>
      <c r="M97"/>
    </row>
    <row r="98" spans="1:13" ht="15" x14ac:dyDescent="0.25">
      <c r="A98"/>
      <c r="B98"/>
      <c r="C98"/>
      <c r="D98"/>
      <c r="E98"/>
      <c r="F98"/>
      <c r="G98"/>
      <c r="H98"/>
      <c r="I98"/>
      <c r="J98"/>
      <c r="K98"/>
      <c r="L98"/>
      <c r="M98"/>
    </row>
    <row r="99" spans="1:13" ht="15" x14ac:dyDescent="0.25">
      <c r="A99"/>
      <c r="B99"/>
      <c r="C99"/>
      <c r="D99"/>
      <c r="E99"/>
      <c r="F99"/>
      <c r="G99"/>
      <c r="H99"/>
      <c r="I99"/>
      <c r="J99"/>
      <c r="K99"/>
      <c r="L99"/>
      <c r="M99"/>
    </row>
    <row r="100" spans="1:13" ht="15" x14ac:dyDescent="0.25">
      <c r="A100"/>
      <c r="B100"/>
      <c r="C100"/>
      <c r="D100"/>
      <c r="E100"/>
      <c r="F100"/>
      <c r="G100"/>
      <c r="H100"/>
      <c r="I100"/>
      <c r="J100"/>
      <c r="K100"/>
      <c r="L100"/>
      <c r="M100"/>
    </row>
    <row r="101" spans="1:13" ht="15" x14ac:dyDescent="0.25">
      <c r="A101"/>
      <c r="B101"/>
      <c r="C101"/>
      <c r="D101"/>
      <c r="E101"/>
      <c r="F101"/>
      <c r="G101"/>
      <c r="H101"/>
      <c r="I101"/>
      <c r="J101"/>
      <c r="K101"/>
      <c r="L101"/>
      <c r="M101"/>
    </row>
    <row r="102" spans="1:13" ht="15" x14ac:dyDescent="0.25">
      <c r="A102" s="760" t="s">
        <v>230</v>
      </c>
      <c r="B102" s="760"/>
      <c r="C102" s="760"/>
      <c r="D102" s="760"/>
      <c r="E102" s="760"/>
      <c r="F102"/>
      <c r="G102"/>
      <c r="H102"/>
      <c r="I102"/>
      <c r="J102"/>
      <c r="K102"/>
      <c r="L102"/>
      <c r="M102"/>
    </row>
    <row r="103" spans="1:13" ht="15.75" thickBot="1" x14ac:dyDescent="0.3">
      <c r="A103"/>
      <c r="B103"/>
      <c r="C103"/>
      <c r="D103"/>
      <c r="E103"/>
      <c r="F103"/>
      <c r="G103"/>
      <c r="H103"/>
      <c r="I103"/>
      <c r="J103"/>
      <c r="K103"/>
      <c r="L103"/>
      <c r="M103"/>
    </row>
    <row r="104" spans="1:13" ht="15.75" customHeight="1" thickBot="1" x14ac:dyDescent="0.3">
      <c r="A104" s="961" t="s">
        <v>160</v>
      </c>
      <c r="B104" s="961" t="s">
        <v>482</v>
      </c>
      <c r="C104" s="963" t="s">
        <v>226</v>
      </c>
      <c r="D104" s="964"/>
      <c r="E104" s="963" t="s">
        <v>226</v>
      </c>
      <c r="F104" s="964"/>
      <c r="G104" s="22"/>
      <c r="H104" s="22"/>
      <c r="I104"/>
      <c r="J104"/>
      <c r="K104"/>
      <c r="L104"/>
      <c r="M104"/>
    </row>
    <row r="105" spans="1:13" ht="30.75" thickBot="1" x14ac:dyDescent="0.3">
      <c r="A105" s="962"/>
      <c r="B105" s="962"/>
      <c r="C105" s="527" t="s">
        <v>109</v>
      </c>
      <c r="D105" s="527" t="s">
        <v>229</v>
      </c>
      <c r="E105" s="527" t="s">
        <v>109</v>
      </c>
      <c r="F105" s="527" t="s">
        <v>229</v>
      </c>
      <c r="G105" s="352"/>
      <c r="H105"/>
      <c r="I105"/>
      <c r="J105"/>
      <c r="K105"/>
      <c r="L105"/>
      <c r="M105"/>
    </row>
    <row r="106" spans="1:13" ht="15.75" thickBot="1" x14ac:dyDescent="0.3">
      <c r="A106" s="201"/>
      <c r="B106" s="202"/>
      <c r="C106" s="202"/>
      <c r="D106" s="202"/>
      <c r="E106" s="203"/>
      <c r="F106" s="202"/>
      <c r="G106"/>
      <c r="H106"/>
      <c r="I106"/>
      <c r="J106"/>
      <c r="K106"/>
      <c r="L106"/>
      <c r="M106"/>
    </row>
    <row r="107" spans="1:13" ht="15.75" thickBot="1" x14ac:dyDescent="0.3">
      <c r="A107" s="204"/>
      <c r="B107" s="196"/>
      <c r="C107" s="196"/>
      <c r="D107" s="196"/>
      <c r="E107" s="196"/>
      <c r="F107" s="196"/>
      <c r="G107"/>
      <c r="H107"/>
      <c r="I107"/>
      <c r="J107"/>
      <c r="K107"/>
      <c r="L107"/>
      <c r="M107"/>
    </row>
    <row r="108" spans="1:13" ht="15.75" thickBot="1" x14ac:dyDescent="0.3">
      <c r="A108" s="204"/>
      <c r="B108" s="196"/>
      <c r="C108" s="196"/>
      <c r="D108" s="196"/>
      <c r="E108" s="196"/>
      <c r="F108" s="196"/>
      <c r="G108"/>
      <c r="H108"/>
      <c r="I108"/>
      <c r="J108"/>
      <c r="K108"/>
      <c r="L108"/>
      <c r="M108"/>
    </row>
    <row r="109" spans="1:13" ht="15.75" thickBot="1" x14ac:dyDescent="0.3">
      <c r="A109" s="204"/>
      <c r="B109" s="196"/>
      <c r="C109" s="196"/>
      <c r="D109" s="196"/>
      <c r="E109" s="196"/>
      <c r="F109" s="196"/>
      <c r="G109"/>
      <c r="H109"/>
      <c r="I109"/>
      <c r="J109"/>
      <c r="K109"/>
      <c r="L109"/>
      <c r="M109"/>
    </row>
    <row r="110" spans="1:13" ht="15.75" thickBot="1" x14ac:dyDescent="0.3">
      <c r="A110" s="204"/>
      <c r="B110" s="196"/>
      <c r="C110" s="196"/>
      <c r="D110" s="196"/>
      <c r="E110" s="196"/>
      <c r="F110" s="196"/>
      <c r="G110"/>
      <c r="H110"/>
      <c r="I110"/>
      <c r="J110"/>
      <c r="K110"/>
      <c r="L110"/>
      <c r="M110"/>
    </row>
    <row r="111" spans="1:13" ht="15.75" thickBot="1" x14ac:dyDescent="0.3">
      <c r="A111" s="204"/>
      <c r="B111" s="196"/>
      <c r="C111" s="196"/>
      <c r="D111" s="196"/>
      <c r="E111" s="196"/>
      <c r="F111" s="196"/>
      <c r="G111"/>
      <c r="H111"/>
      <c r="I111"/>
      <c r="J111"/>
      <c r="K111"/>
      <c r="L111"/>
      <c r="M111"/>
    </row>
    <row r="112" spans="1:13" ht="15.75" thickBot="1" x14ac:dyDescent="0.3">
      <c r="A112" s="204"/>
      <c r="B112" s="196"/>
      <c r="C112" s="196"/>
      <c r="D112" s="196"/>
      <c r="E112" s="196"/>
      <c r="F112" s="196"/>
      <c r="G112"/>
      <c r="H112"/>
      <c r="I112"/>
      <c r="J112"/>
      <c r="K112"/>
      <c r="L112"/>
      <c r="M112"/>
    </row>
    <row r="113" spans="1:13" ht="15.75" thickBot="1" x14ac:dyDescent="0.3">
      <c r="A113" s="21"/>
      <c r="B113" s="21"/>
      <c r="C113" s="21"/>
      <c r="D113" s="21"/>
      <c r="E113" s="21"/>
      <c r="F113" s="21"/>
      <c r="G113"/>
      <c r="H113"/>
      <c r="I113"/>
      <c r="J113"/>
      <c r="K113"/>
      <c r="L113"/>
      <c r="M113"/>
    </row>
    <row r="114" spans="1:13" ht="30.75" customHeight="1" thickBot="1" x14ac:dyDescent="0.3">
      <c r="A114" s="961" t="s">
        <v>160</v>
      </c>
      <c r="B114" s="961" t="s">
        <v>482</v>
      </c>
      <c r="C114" s="610" t="s">
        <v>226</v>
      </c>
      <c r="D114" s="612"/>
      <c r="E114" s="610" t="s">
        <v>226</v>
      </c>
      <c r="F114" s="612"/>
      <c r="G114"/>
      <c r="H114"/>
      <c r="I114"/>
      <c r="J114"/>
      <c r="K114"/>
      <c r="L114"/>
      <c r="M114"/>
    </row>
    <row r="115" spans="1:13" ht="30.75" thickBot="1" x14ac:dyDescent="0.3">
      <c r="A115" s="962"/>
      <c r="B115" s="962"/>
      <c r="C115" s="527" t="s">
        <v>109</v>
      </c>
      <c r="D115" s="472" t="s">
        <v>229</v>
      </c>
      <c r="E115" s="472" t="s">
        <v>109</v>
      </c>
      <c r="F115" s="472" t="s">
        <v>229</v>
      </c>
      <c r="G115"/>
      <c r="H115"/>
      <c r="I115"/>
      <c r="J115"/>
      <c r="K115"/>
      <c r="L115"/>
      <c r="M115"/>
    </row>
    <row r="116" spans="1:13" ht="15.75" thickBot="1" x14ac:dyDescent="0.3">
      <c r="A116" s="201"/>
      <c r="B116" s="202"/>
      <c r="C116" s="202"/>
      <c r="D116" s="202"/>
      <c r="E116" s="203"/>
      <c r="F116" s="202"/>
      <c r="G116"/>
      <c r="H116"/>
      <c r="I116"/>
      <c r="J116"/>
      <c r="K116"/>
      <c r="L116"/>
      <c r="M116"/>
    </row>
    <row r="117" spans="1:13" ht="15.75" thickBot="1" x14ac:dyDescent="0.3">
      <c r="A117" s="204"/>
      <c r="B117" s="196"/>
      <c r="C117" s="196"/>
      <c r="D117" s="196"/>
      <c r="E117" s="196"/>
      <c r="F117" s="196"/>
      <c r="G117"/>
      <c r="H117"/>
      <c r="I117"/>
      <c r="J117"/>
      <c r="K117"/>
      <c r="L117"/>
      <c r="M117"/>
    </row>
    <row r="118" spans="1:13" ht="15.75" thickBot="1" x14ac:dyDescent="0.3">
      <c r="A118" s="204"/>
      <c r="B118" s="196"/>
      <c r="C118" s="196"/>
      <c r="D118" s="196"/>
      <c r="E118" s="196"/>
      <c r="F118" s="196"/>
      <c r="G118"/>
      <c r="H118"/>
      <c r="I118"/>
      <c r="J118"/>
      <c r="K118"/>
      <c r="L118"/>
      <c r="M118"/>
    </row>
    <row r="119" spans="1:13" ht="15.75" thickBot="1" x14ac:dyDescent="0.3">
      <c r="A119" s="204"/>
      <c r="B119" s="196"/>
      <c r="C119" s="196"/>
      <c r="D119" s="196"/>
      <c r="E119" s="196"/>
      <c r="F119" s="196"/>
      <c r="G119"/>
      <c r="H119"/>
      <c r="I119"/>
      <c r="J119"/>
      <c r="K119"/>
      <c r="L119"/>
      <c r="M119"/>
    </row>
    <row r="120" spans="1:13" ht="15.75" thickBot="1" x14ac:dyDescent="0.3">
      <c r="A120" s="204"/>
      <c r="B120" s="196"/>
      <c r="C120" s="196"/>
      <c r="D120" s="196"/>
      <c r="E120" s="196"/>
      <c r="F120" s="196"/>
      <c r="G120"/>
      <c r="H120"/>
      <c r="I120"/>
      <c r="J120"/>
      <c r="K120"/>
      <c r="L120"/>
      <c r="M120"/>
    </row>
    <row r="121" spans="1:13" ht="15.75" thickBot="1" x14ac:dyDescent="0.3">
      <c r="A121" s="204"/>
      <c r="B121" s="196"/>
      <c r="C121" s="196"/>
      <c r="D121" s="196"/>
      <c r="E121" s="196"/>
      <c r="F121" s="196"/>
      <c r="G121"/>
      <c r="H121"/>
      <c r="I121"/>
      <c r="J121"/>
      <c r="K121"/>
      <c r="L121"/>
      <c r="M121"/>
    </row>
    <row r="122" spans="1:13" ht="15.75" thickBot="1" x14ac:dyDescent="0.3">
      <c r="A122" s="204"/>
      <c r="B122" s="196"/>
      <c r="C122" s="196"/>
      <c r="D122" s="196"/>
      <c r="E122" s="196"/>
      <c r="F122" s="196"/>
      <c r="G122"/>
      <c r="H122"/>
      <c r="I122"/>
      <c r="J122"/>
      <c r="K122"/>
      <c r="L122"/>
      <c r="M122"/>
    </row>
    <row r="123" spans="1:13" ht="15.75" thickBot="1" x14ac:dyDescent="0.3">
      <c r="A123"/>
      <c r="B123"/>
      <c r="C123"/>
      <c r="D123"/>
      <c r="E123"/>
      <c r="F123"/>
      <c r="G123"/>
      <c r="H123"/>
      <c r="I123"/>
      <c r="J123"/>
      <c r="K123"/>
      <c r="L123"/>
      <c r="M123"/>
    </row>
    <row r="124" spans="1:13" ht="15.75" thickBot="1" x14ac:dyDescent="0.3">
      <c r="A124" s="961" t="s">
        <v>160</v>
      </c>
      <c r="B124" s="950" t="s">
        <v>482</v>
      </c>
      <c r="C124" s="610" t="s">
        <v>226</v>
      </c>
      <c r="D124" s="612"/>
      <c r="E124"/>
      <c r="F124"/>
      <c r="G124"/>
      <c r="H124"/>
      <c r="I124"/>
      <c r="J124"/>
      <c r="K124"/>
      <c r="L124"/>
      <c r="M124"/>
    </row>
    <row r="125" spans="1:13" ht="30.75" thickBot="1" x14ac:dyDescent="0.3">
      <c r="A125" s="962"/>
      <c r="B125" s="952"/>
      <c r="C125" s="472" t="s">
        <v>109</v>
      </c>
      <c r="D125" s="472" t="s">
        <v>229</v>
      </c>
      <c r="E125"/>
      <c r="F125"/>
      <c r="G125"/>
      <c r="H125"/>
      <c r="I125"/>
      <c r="J125"/>
      <c r="K125"/>
      <c r="L125"/>
      <c r="M125"/>
    </row>
    <row r="126" spans="1:13" ht="15.75" thickBot="1" x14ac:dyDescent="0.3">
      <c r="A126" s="201"/>
      <c r="B126" s="202"/>
      <c r="C126" s="202"/>
      <c r="D126" s="202"/>
      <c r="E126"/>
      <c r="F126"/>
      <c r="G126"/>
      <c r="H126"/>
      <c r="I126"/>
      <c r="J126"/>
      <c r="K126"/>
      <c r="L126"/>
      <c r="M126"/>
    </row>
    <row r="127" spans="1:13" ht="15.75" thickBot="1" x14ac:dyDescent="0.3">
      <c r="A127" s="204"/>
      <c r="B127" s="196"/>
      <c r="C127" s="196"/>
      <c r="D127" s="196"/>
      <c r="E127"/>
      <c r="F127"/>
      <c r="G127"/>
      <c r="H127"/>
      <c r="I127"/>
      <c r="J127"/>
      <c r="K127"/>
      <c r="L127"/>
      <c r="M127"/>
    </row>
    <row r="128" spans="1:13" ht="15.75" thickBot="1" x14ac:dyDescent="0.3">
      <c r="A128" s="204"/>
      <c r="B128" s="196"/>
      <c r="C128" s="196"/>
      <c r="D128" s="196"/>
      <c r="E128"/>
      <c r="F128"/>
      <c r="G128"/>
      <c r="H128"/>
      <c r="I128"/>
      <c r="J128"/>
      <c r="K128"/>
      <c r="L128"/>
      <c r="M128"/>
    </row>
    <row r="129" spans="1:13" ht="15.75" thickBot="1" x14ac:dyDescent="0.3">
      <c r="A129" s="204"/>
      <c r="B129" s="196"/>
      <c r="C129" s="196"/>
      <c r="D129" s="196"/>
      <c r="E129"/>
      <c r="F129"/>
      <c r="G129"/>
      <c r="H129"/>
      <c r="I129"/>
      <c r="J129"/>
      <c r="K129"/>
      <c r="L129"/>
      <c r="M129"/>
    </row>
    <row r="130" spans="1:13" ht="15.75" thickBot="1" x14ac:dyDescent="0.3">
      <c r="A130" s="204"/>
      <c r="B130" s="196"/>
      <c r="C130" s="196"/>
      <c r="D130" s="196"/>
      <c r="E130"/>
      <c r="F130"/>
      <c r="G130"/>
      <c r="H130"/>
      <c r="I130"/>
      <c r="J130"/>
      <c r="K130"/>
      <c r="L130"/>
      <c r="M130"/>
    </row>
    <row r="131" spans="1:13" ht="15.75" thickBot="1" x14ac:dyDescent="0.3">
      <c r="A131" s="204"/>
      <c r="B131" s="196"/>
      <c r="C131" s="196"/>
      <c r="D131" s="196"/>
      <c r="E131"/>
      <c r="F131"/>
      <c r="G131"/>
      <c r="H131"/>
      <c r="I131"/>
      <c r="J131"/>
      <c r="K131"/>
      <c r="L131"/>
      <c r="M131"/>
    </row>
    <row r="132" spans="1:13" ht="15.75" thickBot="1" x14ac:dyDescent="0.3">
      <c r="A132" s="204"/>
      <c r="B132" s="196"/>
      <c r="C132" s="196"/>
      <c r="D132" s="196"/>
      <c r="E132"/>
      <c r="F132"/>
      <c r="G132"/>
      <c r="H132"/>
      <c r="I132"/>
      <c r="J132"/>
      <c r="K132"/>
      <c r="L132"/>
      <c r="M132"/>
    </row>
    <row r="133" spans="1:13" ht="15" x14ac:dyDescent="0.25">
      <c r="A133" s="21"/>
      <c r="B133" s="21"/>
      <c r="C133" s="21"/>
      <c r="D133" s="21"/>
      <c r="E133"/>
      <c r="F133"/>
      <c r="G133"/>
      <c r="H133"/>
      <c r="I133"/>
      <c r="J133"/>
      <c r="K133"/>
      <c r="L133"/>
      <c r="M133"/>
    </row>
    <row r="134" spans="1:13" ht="15" x14ac:dyDescent="0.25">
      <c r="A134" s="21"/>
      <c r="B134" s="21"/>
      <c r="C134" s="21"/>
      <c r="D134" s="21"/>
      <c r="E134"/>
      <c r="F134"/>
      <c r="G134"/>
      <c r="H134"/>
      <c r="I134"/>
      <c r="J134"/>
      <c r="K134"/>
      <c r="L134"/>
      <c r="M134"/>
    </row>
    <row r="135" spans="1:13" ht="15" x14ac:dyDescent="0.25">
      <c r="A135" s="21"/>
      <c r="B135" s="21"/>
      <c r="C135" s="21"/>
      <c r="D135" s="21"/>
      <c r="E135"/>
      <c r="F135"/>
      <c r="G135"/>
      <c r="H135"/>
      <c r="I135"/>
      <c r="J135"/>
      <c r="K135"/>
      <c r="L135"/>
      <c r="M135"/>
    </row>
    <row r="136" spans="1:13" ht="15" x14ac:dyDescent="0.25">
      <c r="A136" s="21"/>
      <c r="B136" s="21"/>
      <c r="C136" s="21"/>
      <c r="D136" s="21"/>
      <c r="E136"/>
      <c r="F136"/>
      <c r="G136"/>
      <c r="H136"/>
      <c r="I136"/>
      <c r="J136"/>
      <c r="K136"/>
      <c r="L136"/>
      <c r="M136"/>
    </row>
    <row r="137" spans="1:13" ht="15" x14ac:dyDescent="0.25">
      <c r="A137" s="21"/>
      <c r="B137" s="21"/>
      <c r="C137" s="21"/>
      <c r="D137" s="21"/>
      <c r="E137"/>
      <c r="F137"/>
      <c r="G137"/>
      <c r="H137"/>
      <c r="I137"/>
      <c r="J137"/>
      <c r="K137"/>
      <c r="L137"/>
      <c r="M137"/>
    </row>
    <row r="138" spans="1:13" ht="15" x14ac:dyDescent="0.25">
      <c r="A138" s="21"/>
      <c r="B138" s="21"/>
      <c r="C138" s="21"/>
      <c r="D138" s="21"/>
      <c r="E138"/>
      <c r="F138"/>
      <c r="G138"/>
      <c r="H138"/>
      <c r="I138"/>
      <c r="J138"/>
      <c r="K138"/>
      <c r="L138"/>
      <c r="M138"/>
    </row>
    <row r="139" spans="1:13" ht="15" x14ac:dyDescent="0.25">
      <c r="A139" s="21"/>
      <c r="B139" s="21"/>
      <c r="C139" s="21"/>
      <c r="D139" s="21"/>
      <c r="E139"/>
      <c r="F139"/>
      <c r="G139"/>
      <c r="H139"/>
      <c r="I139"/>
      <c r="J139"/>
      <c r="K139"/>
      <c r="L139"/>
      <c r="M139"/>
    </row>
    <row r="140" spans="1:13" ht="15" x14ac:dyDescent="0.25">
      <c r="A140" s="21"/>
      <c r="B140" s="21"/>
      <c r="C140" s="21"/>
      <c r="D140" s="21"/>
      <c r="E140"/>
      <c r="F140"/>
      <c r="G140"/>
      <c r="H140"/>
      <c r="I140"/>
      <c r="J140"/>
      <c r="K140"/>
      <c r="L140"/>
      <c r="M140"/>
    </row>
    <row r="141" spans="1:13" ht="15" x14ac:dyDescent="0.25">
      <c r="A141" s="21"/>
      <c r="B141" s="21"/>
      <c r="C141" s="21"/>
      <c r="D141" s="21"/>
      <c r="E141"/>
      <c r="F141"/>
      <c r="G141"/>
      <c r="H141"/>
      <c r="I141"/>
      <c r="J141"/>
      <c r="K141"/>
      <c r="L141"/>
      <c r="M141"/>
    </row>
    <row r="142" spans="1:13" ht="15" x14ac:dyDescent="0.25">
      <c r="A142" s="760" t="s">
        <v>485</v>
      </c>
      <c r="B142" s="760"/>
      <c r="C142" s="760"/>
      <c r="D142"/>
      <c r="E142"/>
      <c r="F142"/>
      <c r="G142"/>
      <c r="H142"/>
      <c r="I142"/>
      <c r="J142"/>
      <c r="K142"/>
      <c r="L142"/>
      <c r="M142"/>
    </row>
    <row r="143" spans="1:13" ht="15" x14ac:dyDescent="0.25">
      <c r="A143" s="251"/>
      <c r="B143" s="251"/>
      <c r="C143" s="251"/>
      <c r="D143"/>
      <c r="E143"/>
      <c r="F143"/>
      <c r="G143"/>
      <c r="H143"/>
      <c r="I143"/>
      <c r="J143"/>
      <c r="K143"/>
      <c r="L143"/>
      <c r="M143"/>
    </row>
    <row r="144" spans="1:13" ht="15" x14ac:dyDescent="0.25">
      <c r="A144" s="763" t="s">
        <v>579</v>
      </c>
      <c r="B144" s="763"/>
      <c r="C144" s="251"/>
      <c r="D144"/>
      <c r="E144"/>
      <c r="F144"/>
      <c r="G144"/>
      <c r="H144"/>
      <c r="I144"/>
      <c r="J144"/>
      <c r="K144"/>
      <c r="L144"/>
      <c r="M144"/>
    </row>
    <row r="145" spans="1:13" ht="15.75" thickBot="1" x14ac:dyDescent="0.3">
      <c r="A145" s="251"/>
      <c r="B145" s="251"/>
      <c r="C145" s="251"/>
      <c r="D145"/>
      <c r="E145"/>
      <c r="F145"/>
      <c r="G145"/>
      <c r="H145"/>
      <c r="I145"/>
      <c r="J145"/>
      <c r="K145"/>
      <c r="L145"/>
      <c r="M145"/>
    </row>
    <row r="146" spans="1:13" ht="15.75" thickBot="1" x14ac:dyDescent="0.3">
      <c r="A146" s="961" t="s">
        <v>160</v>
      </c>
      <c r="B146" s="961" t="s">
        <v>482</v>
      </c>
      <c r="C146" s="963" t="s">
        <v>226</v>
      </c>
      <c r="D146" s="966"/>
      <c r="E146" s="966"/>
      <c r="F146" s="966"/>
      <c r="G146" s="964"/>
      <c r="H146" s="467"/>
      <c r="I146" s="108"/>
      <c r="J146" s="108"/>
      <c r="K146" s="108"/>
      <c r="L146"/>
      <c r="M146"/>
    </row>
    <row r="147" spans="1:13" ht="30.75" thickBot="1" x14ac:dyDescent="0.3">
      <c r="A147" s="962"/>
      <c r="B147" s="962"/>
      <c r="C147" s="533" t="s">
        <v>229</v>
      </c>
      <c r="D147" s="967" t="s">
        <v>580</v>
      </c>
      <c r="E147" s="968"/>
      <c r="F147" s="968"/>
      <c r="G147" s="969"/>
      <c r="H147" s="467"/>
      <c r="I147" s="108"/>
      <c r="J147" s="108"/>
      <c r="K147" s="108"/>
      <c r="L147"/>
      <c r="M147"/>
    </row>
    <row r="148" spans="1:13" ht="15.75" thickBot="1" x14ac:dyDescent="0.3">
      <c r="A148" s="201"/>
      <c r="B148" s="202"/>
      <c r="C148" s="202"/>
      <c r="D148" s="970"/>
      <c r="E148" s="971"/>
      <c r="F148" s="971"/>
      <c r="G148" s="972"/>
      <c r="H148" s="467"/>
      <c r="I148" s="108"/>
      <c r="J148" s="108"/>
      <c r="K148" s="108"/>
      <c r="L148"/>
      <c r="M148"/>
    </row>
    <row r="149" spans="1:13" ht="15.75" thickBot="1" x14ac:dyDescent="0.3">
      <c r="A149" s="204"/>
      <c r="B149" s="196"/>
      <c r="C149" s="196"/>
      <c r="D149" s="610"/>
      <c r="E149" s="611"/>
      <c r="F149" s="611"/>
      <c r="G149" s="612"/>
      <c r="H149" s="467"/>
      <c r="I149" s="108"/>
      <c r="J149" s="108"/>
      <c r="K149" s="108"/>
      <c r="L149"/>
      <c r="M149"/>
    </row>
    <row r="150" spans="1:13" ht="15.75" thickBot="1" x14ac:dyDescent="0.3">
      <c r="A150" s="204"/>
      <c r="B150" s="196"/>
      <c r="C150" s="196"/>
      <c r="D150" s="610"/>
      <c r="E150" s="611"/>
      <c r="F150" s="611"/>
      <c r="G150" s="612"/>
      <c r="H150" s="467"/>
      <c r="I150" s="108"/>
      <c r="J150" s="108"/>
      <c r="K150" s="108"/>
      <c r="L150"/>
      <c r="M150"/>
    </row>
    <row r="151" spans="1:13" ht="15.75" thickBot="1" x14ac:dyDescent="0.3">
      <c r="A151" s="204"/>
      <c r="B151" s="196"/>
      <c r="C151" s="196"/>
      <c r="D151" s="610"/>
      <c r="E151" s="611"/>
      <c r="F151" s="611"/>
      <c r="G151" s="612"/>
      <c r="H151" s="467"/>
      <c r="I151" s="108"/>
      <c r="J151" s="108"/>
      <c r="K151" s="108"/>
      <c r="L151"/>
      <c r="M151"/>
    </row>
    <row r="152" spans="1:13" ht="15" x14ac:dyDescent="0.25">
      <c r="A152" s="251"/>
      <c r="B152" s="251"/>
      <c r="C152" s="251"/>
      <c r="D152"/>
      <c r="E152"/>
      <c r="F152"/>
      <c r="G152"/>
      <c r="H152"/>
      <c r="I152"/>
      <c r="J152"/>
      <c r="K152"/>
      <c r="L152"/>
      <c r="M152"/>
    </row>
    <row r="153" spans="1:13" ht="15" x14ac:dyDescent="0.25">
      <c r="A153" s="760" t="s">
        <v>581</v>
      </c>
      <c r="B153" s="760"/>
      <c r="C153" s="760"/>
      <c r="D153"/>
      <c r="E153"/>
      <c r="F153"/>
      <c r="G153"/>
      <c r="H153"/>
      <c r="I153"/>
      <c r="J153"/>
      <c r="K153"/>
      <c r="L153"/>
      <c r="M153"/>
    </row>
    <row r="154" spans="1:13" ht="15.75" thickBot="1" x14ac:dyDescent="0.3">
      <c r="A154" s="251"/>
      <c r="B154" s="251"/>
      <c r="C154" s="251"/>
      <c r="D154"/>
      <c r="E154"/>
      <c r="F154"/>
      <c r="G154"/>
      <c r="H154"/>
      <c r="I154"/>
      <c r="J154"/>
      <c r="K154"/>
      <c r="L154"/>
      <c r="M154"/>
    </row>
    <row r="155" spans="1:13" ht="15.75" thickBot="1" x14ac:dyDescent="0.3">
      <c r="A155" s="961" t="s">
        <v>160</v>
      </c>
      <c r="B155" s="973" t="s">
        <v>482</v>
      </c>
      <c r="C155" s="963" t="s">
        <v>226</v>
      </c>
      <c r="D155" s="966"/>
      <c r="E155" s="964"/>
      <c r="F155" s="528"/>
      <c r="G155" s="528"/>
      <c r="H155"/>
      <c r="I155"/>
      <c r="J155"/>
      <c r="K155"/>
      <c r="L155"/>
      <c r="M155"/>
    </row>
    <row r="156" spans="1:13" ht="62.45" customHeight="1" thickBot="1" x14ac:dyDescent="0.3">
      <c r="A156" s="962"/>
      <c r="B156" s="962"/>
      <c r="C156" s="533" t="s">
        <v>229</v>
      </c>
      <c r="D156" s="533" t="s">
        <v>582</v>
      </c>
      <c r="E156" s="533" t="s">
        <v>595</v>
      </c>
      <c r="F156" s="529"/>
      <c r="G156" s="359"/>
      <c r="H156"/>
      <c r="I156"/>
      <c r="J156"/>
      <c r="K156"/>
      <c r="L156"/>
      <c r="M156"/>
    </row>
    <row r="157" spans="1:13" ht="15.75" thickBot="1" x14ac:dyDescent="0.3">
      <c r="A157" s="201"/>
      <c r="B157" s="202"/>
      <c r="C157" s="202"/>
      <c r="D157" s="530"/>
      <c r="E157" s="530"/>
      <c r="F157" s="531"/>
      <c r="G157" s="531"/>
      <c r="H157"/>
      <c r="I157"/>
      <c r="J157"/>
      <c r="K157"/>
      <c r="L157"/>
      <c r="M157"/>
    </row>
    <row r="158" spans="1:13" ht="15.75" thickBot="1" x14ac:dyDescent="0.3">
      <c r="A158" s="204"/>
      <c r="B158" s="196"/>
      <c r="C158" s="196"/>
      <c r="D158" s="532"/>
      <c r="E158" s="532"/>
      <c r="F158" s="22"/>
      <c r="G158" s="22"/>
      <c r="H158"/>
      <c r="I158"/>
      <c r="J158"/>
      <c r="K158"/>
      <c r="L158"/>
      <c r="M158"/>
    </row>
    <row r="159" spans="1:13" ht="15.75" thickBot="1" x14ac:dyDescent="0.3">
      <c r="A159" s="204"/>
      <c r="B159" s="196"/>
      <c r="C159" s="196"/>
      <c r="D159" s="532"/>
      <c r="E159" s="532"/>
      <c r="F159" s="22"/>
      <c r="G159" s="22"/>
      <c r="H159"/>
      <c r="I159"/>
      <c r="J159"/>
      <c r="K159"/>
      <c r="L159"/>
      <c r="M159"/>
    </row>
    <row r="160" spans="1:13" ht="15.75" thickBot="1" x14ac:dyDescent="0.3">
      <c r="A160" s="204"/>
      <c r="B160" s="196"/>
      <c r="C160" s="196"/>
      <c r="D160" s="532"/>
      <c r="E160" s="532"/>
      <c r="F160" s="22"/>
      <c r="G160" s="22"/>
      <c r="H160"/>
      <c r="I160"/>
      <c r="J160"/>
      <c r="K160"/>
      <c r="L160"/>
      <c r="M160"/>
    </row>
    <row r="161" spans="1:13" ht="15" x14ac:dyDescent="0.25">
      <c r="A161" s="251"/>
      <c r="B161" s="251"/>
      <c r="C161" s="251"/>
      <c r="D161"/>
      <c r="E161"/>
      <c r="F161"/>
      <c r="G161"/>
      <c r="H161"/>
      <c r="I161"/>
      <c r="J161"/>
      <c r="K161"/>
      <c r="L161"/>
      <c r="M161"/>
    </row>
    <row r="162" spans="1:13" ht="14.45" customHeight="1" x14ac:dyDescent="0.25">
      <c r="A162" s="965" t="s">
        <v>583</v>
      </c>
      <c r="B162" s="965"/>
      <c r="C162" s="965"/>
      <c r="D162"/>
      <c r="E162"/>
      <c r="F162"/>
      <c r="G162"/>
      <c r="H162"/>
      <c r="I162"/>
      <c r="J162"/>
      <c r="K162"/>
      <c r="L162"/>
      <c r="M162"/>
    </row>
    <row r="163" spans="1:13" ht="15.75" thickBot="1" x14ac:dyDescent="0.3">
      <c r="A163" s="359"/>
      <c r="B163" s="251"/>
      <c r="C163" s="251"/>
      <c r="D163"/>
      <c r="E163"/>
      <c r="F163"/>
      <c r="G163"/>
      <c r="H163"/>
      <c r="I163"/>
      <c r="J163"/>
      <c r="K163"/>
      <c r="L163"/>
      <c r="M163"/>
    </row>
    <row r="164" spans="1:13" ht="15" x14ac:dyDescent="0.25">
      <c r="A164" s="651" t="s">
        <v>160</v>
      </c>
      <c r="B164" s="639" t="s">
        <v>584</v>
      </c>
      <c r="C164" s="639" t="s">
        <v>585</v>
      </c>
      <c r="D164" s="639" t="s">
        <v>586</v>
      </c>
      <c r="E164" s="639" t="s">
        <v>587</v>
      </c>
      <c r="F164"/>
      <c r="G164"/>
      <c r="H164"/>
      <c r="I164"/>
      <c r="J164"/>
      <c r="K164"/>
      <c r="L164"/>
      <c r="M164"/>
    </row>
    <row r="165" spans="1:13" ht="15" x14ac:dyDescent="0.25">
      <c r="A165" s="652"/>
      <c r="B165" s="640"/>
      <c r="C165" s="640"/>
      <c r="D165" s="640"/>
      <c r="E165" s="640"/>
      <c r="F165"/>
      <c r="G165"/>
      <c r="H165"/>
      <c r="I165"/>
      <c r="J165"/>
      <c r="K165"/>
      <c r="L165"/>
      <c r="M165"/>
    </row>
    <row r="166" spans="1:13" ht="15.75" thickBot="1" x14ac:dyDescent="0.3">
      <c r="A166" s="653"/>
      <c r="B166" s="641"/>
      <c r="C166" s="641"/>
      <c r="D166" s="641"/>
      <c r="E166" s="641"/>
      <c r="F166"/>
      <c r="G166"/>
      <c r="H166"/>
      <c r="I166"/>
      <c r="J166"/>
      <c r="K166"/>
      <c r="L166"/>
      <c r="M166"/>
    </row>
    <row r="167" spans="1:13" ht="15.75" thickBot="1" x14ac:dyDescent="0.3">
      <c r="A167" s="195"/>
      <c r="B167" s="71"/>
      <c r="C167" s="71"/>
      <c r="D167" s="71"/>
      <c r="E167" s="71"/>
      <c r="F167"/>
      <c r="G167"/>
      <c r="H167"/>
      <c r="I167"/>
      <c r="J167"/>
      <c r="K167"/>
      <c r="L167"/>
      <c r="M167"/>
    </row>
    <row r="168" spans="1:13" ht="15.75" thickBot="1" x14ac:dyDescent="0.3">
      <c r="A168" s="195"/>
      <c r="B168" s="71"/>
      <c r="C168" s="71"/>
      <c r="D168" s="71"/>
      <c r="E168" s="71"/>
      <c r="F168"/>
      <c r="G168"/>
      <c r="H168"/>
      <c r="I168"/>
      <c r="J168"/>
      <c r="K168"/>
      <c r="L168"/>
      <c r="M168"/>
    </row>
    <row r="169" spans="1:13" ht="15.75" thickBot="1" x14ac:dyDescent="0.3">
      <c r="A169" s="197"/>
      <c r="B169" s="198"/>
      <c r="C169" s="198"/>
      <c r="D169" s="198"/>
      <c r="E169" s="198"/>
      <c r="F169"/>
      <c r="G169"/>
      <c r="H169"/>
      <c r="I169"/>
      <c r="J169"/>
      <c r="K169"/>
      <c r="L169"/>
      <c r="M169"/>
    </row>
    <row r="170" spans="1:13" ht="15.75" thickBot="1" x14ac:dyDescent="0.3">
      <c r="A170" s="197"/>
      <c r="B170" s="198"/>
      <c r="C170" s="198"/>
      <c r="D170" s="198"/>
      <c r="E170" s="198"/>
      <c r="F170"/>
      <c r="G170"/>
      <c r="H170"/>
      <c r="I170"/>
      <c r="J170"/>
      <c r="K170"/>
      <c r="L170"/>
      <c r="M170"/>
    </row>
    <row r="171" spans="1:13" ht="15" x14ac:dyDescent="0.25">
      <c r="A171" s="251"/>
      <c r="B171" s="251"/>
      <c r="C171" s="251"/>
      <c r="D171"/>
      <c r="E171"/>
      <c r="F171"/>
      <c r="G171"/>
      <c r="H171"/>
      <c r="I171"/>
      <c r="J171"/>
      <c r="K171"/>
      <c r="L171"/>
      <c r="M171"/>
    </row>
    <row r="172" spans="1:13" ht="15" x14ac:dyDescent="0.25">
      <c r="A172" s="965" t="s">
        <v>588</v>
      </c>
      <c r="B172" s="965"/>
      <c r="C172" s="965"/>
      <c r="D172"/>
      <c r="E172"/>
      <c r="F172"/>
      <c r="G172"/>
      <c r="H172"/>
      <c r="I172"/>
      <c r="J172"/>
      <c r="K172"/>
      <c r="L172"/>
      <c r="M172"/>
    </row>
    <row r="173" spans="1:13" ht="15.75" thickBot="1" x14ac:dyDescent="0.3">
      <c r="A173" s="464"/>
      <c r="B173" s="464"/>
      <c r="C173" s="464"/>
      <c r="D173"/>
      <c r="E173"/>
      <c r="F173"/>
      <c r="G173"/>
      <c r="H173"/>
      <c r="I173"/>
      <c r="J173"/>
      <c r="K173"/>
      <c r="L173"/>
      <c r="M173"/>
    </row>
    <row r="174" spans="1:13" ht="15" x14ac:dyDescent="0.25">
      <c r="A174" s="651" t="s">
        <v>160</v>
      </c>
      <c r="B174" s="639" t="s">
        <v>229</v>
      </c>
      <c r="C174" s="639" t="s">
        <v>589</v>
      </c>
      <c r="D174" s="639" t="s">
        <v>590</v>
      </c>
      <c r="F174"/>
      <c r="G174"/>
      <c r="H174"/>
      <c r="I174"/>
      <c r="J174"/>
      <c r="K174"/>
      <c r="L174"/>
      <c r="M174"/>
    </row>
    <row r="175" spans="1:13" ht="15" x14ac:dyDescent="0.25">
      <c r="A175" s="652"/>
      <c r="B175" s="640"/>
      <c r="C175" s="640"/>
      <c r="D175" s="640"/>
      <c r="F175"/>
      <c r="G175"/>
      <c r="H175"/>
      <c r="I175"/>
      <c r="J175"/>
      <c r="K175"/>
      <c r="L175"/>
      <c r="M175"/>
    </row>
    <row r="176" spans="1:13" ht="15.75" thickBot="1" x14ac:dyDescent="0.3">
      <c r="A176" s="653"/>
      <c r="B176" s="641"/>
      <c r="C176" s="641"/>
      <c r="D176" s="641"/>
      <c r="F176"/>
      <c r="G176"/>
      <c r="H176"/>
      <c r="I176"/>
      <c r="J176"/>
      <c r="K176"/>
      <c r="L176"/>
      <c r="M176"/>
    </row>
    <row r="177" spans="1:13" ht="15.75" thickBot="1" x14ac:dyDescent="0.3">
      <c r="A177" s="195"/>
      <c r="B177" s="71"/>
      <c r="C177" s="71"/>
      <c r="D177" s="71"/>
      <c r="F177"/>
      <c r="G177"/>
      <c r="H177"/>
      <c r="I177"/>
      <c r="J177"/>
      <c r="K177"/>
      <c r="L177"/>
      <c r="M177"/>
    </row>
    <row r="178" spans="1:13" ht="15.75" thickBot="1" x14ac:dyDescent="0.3">
      <c r="A178" s="195"/>
      <c r="B178" s="71"/>
      <c r="C178" s="71"/>
      <c r="D178" s="71"/>
      <c r="F178"/>
      <c r="G178"/>
      <c r="H178"/>
      <c r="I178"/>
      <c r="J178"/>
      <c r="K178"/>
      <c r="L178"/>
      <c r="M178"/>
    </row>
    <row r="179" spans="1:13" ht="15.75" thickBot="1" x14ac:dyDescent="0.3">
      <c r="A179" s="197"/>
      <c r="B179" s="198"/>
      <c r="C179" s="198"/>
      <c r="D179" s="198"/>
      <c r="F179"/>
      <c r="G179"/>
      <c r="H179"/>
      <c r="I179"/>
      <c r="J179"/>
      <c r="K179"/>
      <c r="L179"/>
      <c r="M179"/>
    </row>
    <row r="180" spans="1:13" ht="15.75" thickBot="1" x14ac:dyDescent="0.3">
      <c r="A180" s="197"/>
      <c r="B180" s="198"/>
      <c r="C180" s="198"/>
      <c r="D180" s="198"/>
      <c r="F180"/>
      <c r="G180"/>
      <c r="H180"/>
      <c r="I180"/>
      <c r="J180"/>
      <c r="K180"/>
      <c r="L180"/>
      <c r="M180"/>
    </row>
    <row r="181" spans="1:13" ht="15" x14ac:dyDescent="0.25">
      <c r="A181" s="68"/>
      <c r="B181" s="22"/>
      <c r="C181" s="22"/>
      <c r="D181" s="22"/>
      <c r="F181"/>
      <c r="G181"/>
      <c r="H181"/>
      <c r="I181"/>
      <c r="J181"/>
      <c r="K181"/>
      <c r="L181"/>
      <c r="M181"/>
    </row>
    <row r="182" spans="1:13" ht="15" x14ac:dyDescent="0.25">
      <c r="A182" s="68"/>
      <c r="B182" s="22"/>
      <c r="C182" s="22"/>
      <c r="D182" s="22"/>
      <c r="F182"/>
      <c r="G182"/>
      <c r="H182"/>
      <c r="I182"/>
      <c r="J182"/>
      <c r="K182"/>
      <c r="L182"/>
      <c r="M182"/>
    </row>
    <row r="183" spans="1:13" ht="15" x14ac:dyDescent="0.25">
      <c r="A183" s="68"/>
      <c r="B183" s="22"/>
      <c r="C183" s="22"/>
      <c r="D183" s="22"/>
      <c r="F183"/>
      <c r="G183"/>
      <c r="H183"/>
      <c r="I183"/>
      <c r="J183"/>
      <c r="K183"/>
      <c r="L183"/>
      <c r="M183"/>
    </row>
    <row r="184" spans="1:13" ht="15" x14ac:dyDescent="0.25">
      <c r="A184"/>
      <c r="B184"/>
      <c r="C184"/>
      <c r="D184"/>
      <c r="E184"/>
      <c r="F184"/>
      <c r="G184"/>
      <c r="H184"/>
      <c r="I184"/>
      <c r="J184"/>
      <c r="K184"/>
      <c r="L184"/>
      <c r="M184"/>
    </row>
    <row r="185" spans="1:13" ht="15" x14ac:dyDescent="0.25">
      <c r="A185" s="68"/>
      <c r="B185" s="66"/>
      <c r="C185" s="66"/>
      <c r="D185" s="66"/>
      <c r="E185" s="66"/>
      <c r="F185" s="66"/>
      <c r="G185"/>
      <c r="H185"/>
      <c r="I185"/>
      <c r="J185"/>
      <c r="K185"/>
      <c r="L185"/>
      <c r="M185"/>
    </row>
    <row r="186" spans="1:13" ht="15.75" thickBot="1" x14ac:dyDescent="0.3">
      <c r="A186"/>
      <c r="B186"/>
      <c r="C186"/>
      <c r="D186"/>
      <c r="E186"/>
      <c r="F186"/>
      <c r="G186"/>
      <c r="H186"/>
      <c r="I186"/>
      <c r="J186"/>
      <c r="K186"/>
      <c r="L186"/>
      <c r="M186"/>
    </row>
    <row r="187" spans="1:13" ht="18" customHeight="1" x14ac:dyDescent="0.25">
      <c r="A187" s="974" t="s">
        <v>231</v>
      </c>
      <c r="B187" s="950" t="s">
        <v>232</v>
      </c>
      <c r="C187" s="974" t="s">
        <v>484</v>
      </c>
      <c r="D187" s="930" t="s">
        <v>486</v>
      </c>
      <c r="E187" s="973" t="s">
        <v>233</v>
      </c>
      <c r="F187" s="984"/>
      <c r="G187"/>
      <c r="H187"/>
      <c r="I187"/>
      <c r="J187"/>
      <c r="K187"/>
      <c r="L187"/>
      <c r="M187"/>
    </row>
    <row r="188" spans="1:13" ht="26.25" customHeight="1" thickBot="1" x14ac:dyDescent="0.3">
      <c r="A188" s="983"/>
      <c r="B188" s="952"/>
      <c r="C188" s="975"/>
      <c r="D188" s="931"/>
      <c r="E188" s="985"/>
      <c r="F188" s="986"/>
      <c r="G188"/>
      <c r="H188"/>
      <c r="I188"/>
      <c r="J188"/>
      <c r="K188"/>
      <c r="L188"/>
      <c r="M188"/>
    </row>
    <row r="189" spans="1:13" ht="15.75" thickBot="1" x14ac:dyDescent="0.3">
      <c r="A189" s="983"/>
      <c r="B189" s="200"/>
      <c r="C189" s="200"/>
      <c r="D189" s="205"/>
      <c r="E189" s="625"/>
      <c r="F189" s="626"/>
      <c r="G189"/>
      <c r="H189"/>
      <c r="I189"/>
      <c r="J189"/>
      <c r="K189"/>
      <c r="L189"/>
      <c r="M189"/>
    </row>
    <row r="190" spans="1:13" ht="15.75" thickBot="1" x14ac:dyDescent="0.3">
      <c r="A190" s="983"/>
      <c r="B190" s="200"/>
      <c r="C190" s="200"/>
      <c r="D190" s="205"/>
      <c r="E190" s="625"/>
      <c r="F190" s="626"/>
      <c r="G190"/>
      <c r="H190"/>
      <c r="I190"/>
      <c r="J190"/>
      <c r="K190"/>
      <c r="L190"/>
      <c r="M190"/>
    </row>
    <row r="191" spans="1:13" ht="15.75" thickBot="1" x14ac:dyDescent="0.3">
      <c r="A191" s="983"/>
      <c r="B191" s="200"/>
      <c r="C191" s="200"/>
      <c r="D191" s="205"/>
      <c r="E191" s="625"/>
      <c r="F191" s="626"/>
      <c r="G191"/>
      <c r="H191"/>
      <c r="I191"/>
      <c r="J191"/>
      <c r="K191"/>
      <c r="L191"/>
      <c r="M191"/>
    </row>
    <row r="192" spans="1:13" ht="15.75" thickBot="1" x14ac:dyDescent="0.3">
      <c r="A192" s="983"/>
      <c r="B192" s="200"/>
      <c r="C192" s="200"/>
      <c r="D192" s="205"/>
      <c r="E192" s="625"/>
      <c r="F192" s="626"/>
      <c r="G192"/>
      <c r="H192"/>
      <c r="I192"/>
      <c r="J192"/>
      <c r="K192"/>
      <c r="L192"/>
      <c r="M192"/>
    </row>
    <row r="193" spans="1:13" ht="15.75" thickBot="1" x14ac:dyDescent="0.3">
      <c r="A193" s="975"/>
      <c r="B193" s="200"/>
      <c r="C193" s="200"/>
      <c r="D193" s="205"/>
      <c r="E193" s="625"/>
      <c r="F193" s="626"/>
      <c r="G193"/>
      <c r="H193"/>
      <c r="I193"/>
      <c r="J193"/>
      <c r="K193"/>
      <c r="L193"/>
      <c r="M193"/>
    </row>
    <row r="194" spans="1:13" ht="15.75" thickBot="1" x14ac:dyDescent="0.3">
      <c r="A194"/>
      <c r="B194"/>
      <c r="C194"/>
      <c r="D194"/>
      <c r="E194"/>
      <c r="F194"/>
      <c r="G194"/>
      <c r="H194"/>
      <c r="I194"/>
      <c r="J194"/>
      <c r="K194"/>
      <c r="L194"/>
      <c r="M194"/>
    </row>
    <row r="195" spans="1:13" ht="48" customHeight="1" thickBot="1" x14ac:dyDescent="0.3">
      <c r="A195" s="977" t="s">
        <v>234</v>
      </c>
      <c r="B195" s="534" t="s">
        <v>232</v>
      </c>
      <c r="C195" s="535" t="s">
        <v>484</v>
      </c>
      <c r="D195" s="536" t="s">
        <v>235</v>
      </c>
      <c r="E195" s="537" t="s">
        <v>487</v>
      </c>
      <c r="F195" s="980" t="s">
        <v>233</v>
      </c>
      <c r="G195" s="981"/>
      <c r="H195" s="982"/>
      <c r="I195"/>
      <c r="J195"/>
      <c r="K195"/>
      <c r="L195"/>
      <c r="M195"/>
    </row>
    <row r="196" spans="1:13" ht="15.75" thickBot="1" x14ac:dyDescent="0.3">
      <c r="A196" s="978"/>
      <c r="B196" s="200"/>
      <c r="C196" s="197"/>
      <c r="D196" s="200"/>
      <c r="E196" s="205"/>
      <c r="F196" s="625"/>
      <c r="G196" s="960"/>
      <c r="H196" s="626"/>
      <c r="I196"/>
      <c r="J196"/>
      <c r="K196"/>
      <c r="L196"/>
      <c r="M196"/>
    </row>
    <row r="197" spans="1:13" ht="15.75" thickBot="1" x14ac:dyDescent="0.3">
      <c r="A197" s="978"/>
      <c r="B197" s="200"/>
      <c r="C197" s="200"/>
      <c r="D197" s="200"/>
      <c r="E197" s="205"/>
      <c r="F197" s="625"/>
      <c r="G197" s="960"/>
      <c r="H197" s="626"/>
      <c r="I197"/>
      <c r="J197"/>
      <c r="K197"/>
      <c r="L197"/>
      <c r="M197"/>
    </row>
    <row r="198" spans="1:13" ht="15.75" thickBot="1" x14ac:dyDescent="0.3">
      <c r="A198" s="978"/>
      <c r="B198" s="200"/>
      <c r="C198" s="200"/>
      <c r="D198" s="200"/>
      <c r="E198" s="205"/>
      <c r="F198" s="625"/>
      <c r="G198" s="960"/>
      <c r="H198" s="626"/>
      <c r="I198"/>
      <c r="J198"/>
      <c r="K198"/>
      <c r="L198"/>
      <c r="M198"/>
    </row>
    <row r="199" spans="1:13" ht="25.5" customHeight="1" thickBot="1" x14ac:dyDescent="0.3">
      <c r="A199" s="979"/>
      <c r="B199" s="200"/>
      <c r="C199" s="200"/>
      <c r="D199" s="200"/>
      <c r="E199" s="205"/>
      <c r="F199" s="625"/>
      <c r="G199" s="960"/>
      <c r="H199" s="626"/>
      <c r="I199"/>
      <c r="J199"/>
      <c r="K199"/>
      <c r="L199"/>
      <c r="M199"/>
    </row>
    <row r="200" spans="1:13" ht="25.5" customHeight="1" x14ac:dyDescent="0.25">
      <c r="A200" s="469"/>
      <c r="B200" s="68"/>
      <c r="C200" s="68"/>
      <c r="D200" s="68"/>
      <c r="E200" s="68"/>
      <c r="F200" s="66"/>
      <c r="G200" s="66"/>
      <c r="H200" s="66"/>
      <c r="I200"/>
      <c r="J200"/>
      <c r="K200"/>
      <c r="L200"/>
      <c r="M200"/>
    </row>
    <row r="201" spans="1:13" ht="15" x14ac:dyDescent="0.25">
      <c r="A201"/>
      <c r="B201"/>
      <c r="C201"/>
      <c r="D201"/>
      <c r="E201"/>
      <c r="F201"/>
      <c r="G201"/>
      <c r="H201"/>
      <c r="I201"/>
      <c r="J201"/>
      <c r="K201"/>
      <c r="L201"/>
      <c r="M201"/>
    </row>
    <row r="202" spans="1:13" ht="15" x14ac:dyDescent="0.25">
      <c r="A202" s="760" t="s">
        <v>236</v>
      </c>
      <c r="B202" s="760"/>
      <c r="C202" s="760"/>
      <c r="D202" s="760"/>
      <c r="E202"/>
      <c r="F202"/>
      <c r="G202"/>
      <c r="H202"/>
      <c r="I202"/>
      <c r="J202"/>
      <c r="K202"/>
      <c r="L202"/>
      <c r="M202"/>
    </row>
    <row r="203" spans="1:13" ht="15.75" thickBot="1" x14ac:dyDescent="0.3">
      <c r="A203"/>
      <c r="B203"/>
      <c r="C203"/>
      <c r="D203"/>
      <c r="E203"/>
      <c r="F203"/>
      <c r="G203"/>
      <c r="H203"/>
      <c r="I203"/>
      <c r="J203"/>
      <c r="K203"/>
      <c r="L203"/>
      <c r="M203"/>
    </row>
    <row r="204" spans="1:13" ht="15" customHeight="1" x14ac:dyDescent="0.15">
      <c r="A204" s="68"/>
      <c r="B204" s="940" t="s">
        <v>238</v>
      </c>
      <c r="C204" s="941"/>
      <c r="D204" s="941"/>
      <c r="E204" s="942"/>
      <c r="F204" s="940" t="s">
        <v>238</v>
      </c>
      <c r="G204" s="941"/>
      <c r="H204" s="941"/>
      <c r="I204" s="942"/>
      <c r="J204" s="940" t="s">
        <v>238</v>
      </c>
      <c r="K204" s="941"/>
      <c r="L204" s="941"/>
      <c r="M204" s="942"/>
    </row>
    <row r="205" spans="1:13" ht="19.350000000000001" customHeight="1" thickBot="1" x14ac:dyDescent="0.2">
      <c r="A205" s="68"/>
      <c r="B205" s="117" t="s">
        <v>161</v>
      </c>
      <c r="C205" s="71" t="s">
        <v>162</v>
      </c>
      <c r="D205" s="71" t="s">
        <v>163</v>
      </c>
      <c r="E205" s="71" t="s">
        <v>164</v>
      </c>
      <c r="F205" s="71" t="s">
        <v>161</v>
      </c>
      <c r="G205" s="71" t="s">
        <v>162</v>
      </c>
      <c r="H205" s="71" t="s">
        <v>163</v>
      </c>
      <c r="I205" s="71" t="s">
        <v>164</v>
      </c>
      <c r="J205" s="71" t="s">
        <v>161</v>
      </c>
      <c r="K205" s="71" t="s">
        <v>162</v>
      </c>
      <c r="L205" s="71" t="s">
        <v>163</v>
      </c>
      <c r="M205" s="71" t="s">
        <v>164</v>
      </c>
    </row>
    <row r="206" spans="1:13" ht="30.75" customHeight="1" x14ac:dyDescent="0.15">
      <c r="A206" s="974" t="s">
        <v>488</v>
      </c>
      <c r="B206" s="976"/>
      <c r="C206" s="810"/>
      <c r="D206" s="810"/>
      <c r="E206" s="810"/>
      <c r="F206" s="810"/>
      <c r="G206" s="810"/>
      <c r="H206" s="810"/>
      <c r="I206" s="810"/>
      <c r="J206" s="810"/>
      <c r="K206" s="810"/>
      <c r="L206" s="810"/>
      <c r="M206" s="810"/>
    </row>
    <row r="207" spans="1:13" ht="33" customHeight="1" thickBot="1" x14ac:dyDescent="0.2">
      <c r="A207" s="975"/>
      <c r="B207" s="943"/>
      <c r="C207" s="812"/>
      <c r="D207" s="812"/>
      <c r="E207" s="812"/>
      <c r="F207" s="812"/>
      <c r="G207" s="812"/>
      <c r="H207" s="812"/>
      <c r="I207" s="812"/>
      <c r="J207" s="812"/>
      <c r="K207" s="812"/>
      <c r="L207" s="812"/>
      <c r="M207" s="812"/>
    </row>
    <row r="208" spans="1:13" ht="32.450000000000003" customHeight="1" x14ac:dyDescent="0.15">
      <c r="A208" s="930" t="s">
        <v>237</v>
      </c>
      <c r="B208" s="936"/>
      <c r="C208" s="936"/>
      <c r="D208" s="936"/>
      <c r="E208" s="936"/>
      <c r="F208" s="936"/>
      <c r="G208" s="936"/>
      <c r="H208" s="936"/>
      <c r="I208" s="936"/>
      <c r="J208" s="936"/>
      <c r="K208" s="936"/>
      <c r="L208" s="936"/>
      <c r="M208" s="936"/>
    </row>
    <row r="209" spans="1:13" ht="11.25" customHeight="1" thickBot="1" x14ac:dyDescent="0.2">
      <c r="A209" s="931"/>
      <c r="B209" s="943"/>
      <c r="C209" s="943"/>
      <c r="D209" s="943"/>
      <c r="E209" s="943"/>
      <c r="F209" s="943"/>
      <c r="G209" s="943"/>
      <c r="H209" s="943"/>
      <c r="I209" s="943"/>
      <c r="J209" s="943"/>
      <c r="K209" s="943"/>
      <c r="L209" s="943"/>
      <c r="M209" s="943"/>
    </row>
    <row r="210" spans="1:13" ht="18" customHeight="1" x14ac:dyDescent="0.15">
      <c r="A210" s="930" t="s">
        <v>233</v>
      </c>
      <c r="B210" s="944"/>
      <c r="C210" s="945"/>
      <c r="D210" s="945"/>
      <c r="E210" s="945"/>
      <c r="F210" s="945"/>
      <c r="G210" s="945"/>
      <c r="H210" s="945"/>
      <c r="I210" s="945"/>
      <c r="J210" s="945"/>
      <c r="K210" s="945"/>
      <c r="L210" s="945"/>
      <c r="M210" s="946"/>
    </row>
    <row r="211" spans="1:13" ht="11.1" customHeight="1" thickBot="1" x14ac:dyDescent="0.2">
      <c r="A211" s="931"/>
      <c r="B211" s="947"/>
      <c r="C211" s="948"/>
      <c r="D211" s="948"/>
      <c r="E211" s="948"/>
      <c r="F211" s="948"/>
      <c r="G211" s="948"/>
      <c r="H211" s="948"/>
      <c r="I211" s="948"/>
      <c r="J211" s="948"/>
      <c r="K211" s="948"/>
      <c r="L211" s="948"/>
      <c r="M211" s="949"/>
    </row>
    <row r="212" spans="1:13" ht="11.1" customHeight="1" x14ac:dyDescent="0.15">
      <c r="A212" s="68"/>
      <c r="B212" s="66"/>
      <c r="C212" s="66"/>
      <c r="D212" s="66"/>
      <c r="E212" s="66"/>
      <c r="F212" s="66"/>
      <c r="G212" s="66"/>
      <c r="H212" s="66"/>
      <c r="I212" s="66"/>
      <c r="J212" s="66"/>
      <c r="K212" s="66"/>
      <c r="L212" s="66"/>
      <c r="M212" s="66"/>
    </row>
    <row r="213" spans="1:13" ht="11.1" customHeight="1" x14ac:dyDescent="0.15">
      <c r="A213" s="68"/>
      <c r="B213" s="66"/>
      <c r="C213" s="66"/>
      <c r="D213" s="66"/>
      <c r="E213" s="66"/>
      <c r="F213" s="66"/>
      <c r="G213" s="66"/>
      <c r="H213" s="66"/>
      <c r="I213" s="66"/>
      <c r="J213" s="66"/>
      <c r="K213" s="66"/>
      <c r="L213" s="66"/>
      <c r="M213" s="66"/>
    </row>
    <row r="214" spans="1:13" ht="11.1" customHeight="1" x14ac:dyDescent="0.15">
      <c r="A214" s="68"/>
      <c r="B214" s="66"/>
      <c r="C214" s="66"/>
      <c r="D214" s="66"/>
      <c r="E214" s="66"/>
      <c r="F214" s="66"/>
      <c r="G214" s="66"/>
      <c r="H214" s="66"/>
      <c r="I214" s="66"/>
      <c r="J214" s="66"/>
      <c r="K214" s="66"/>
      <c r="L214" s="66"/>
      <c r="M214" s="66"/>
    </row>
    <row r="215" spans="1:13" ht="11.1" customHeight="1" x14ac:dyDescent="0.15">
      <c r="A215" s="68"/>
      <c r="B215" s="66"/>
      <c r="C215" s="66"/>
      <c r="D215" s="66"/>
      <c r="E215" s="66"/>
      <c r="F215" s="66"/>
      <c r="G215" s="66"/>
      <c r="H215" s="66"/>
      <c r="I215" s="66"/>
      <c r="J215" s="66"/>
      <c r="K215" s="66"/>
      <c r="L215" s="66"/>
      <c r="M215" s="66"/>
    </row>
    <row r="216" spans="1:13" ht="11.1" customHeight="1" x14ac:dyDescent="0.15">
      <c r="A216" s="68"/>
      <c r="B216" s="66"/>
      <c r="C216" s="66"/>
      <c r="D216" s="66"/>
      <c r="E216" s="66"/>
      <c r="F216" s="66"/>
      <c r="G216" s="66"/>
      <c r="H216" s="66"/>
      <c r="I216" s="66"/>
      <c r="J216" s="66"/>
      <c r="K216" s="66"/>
      <c r="L216" s="66"/>
      <c r="M216" s="66"/>
    </row>
    <row r="217" spans="1:13" ht="11.1" customHeight="1" x14ac:dyDescent="0.15">
      <c r="A217" s="68"/>
      <c r="B217" s="66"/>
      <c r="C217" s="66"/>
      <c r="D217" s="66"/>
      <c r="E217" s="66"/>
      <c r="F217" s="66"/>
      <c r="G217" s="66"/>
      <c r="H217" s="66"/>
      <c r="I217" s="66"/>
      <c r="J217" s="66"/>
      <c r="K217" s="66"/>
      <c r="L217" s="66"/>
      <c r="M217" s="66"/>
    </row>
    <row r="218" spans="1:13" ht="11.1" customHeight="1" x14ac:dyDescent="0.15">
      <c r="A218" s="68"/>
      <c r="B218" s="66"/>
      <c r="C218" s="66"/>
      <c r="D218" s="66"/>
      <c r="E218" s="66"/>
      <c r="F218" s="66"/>
      <c r="G218" s="66"/>
      <c r="H218" s="66"/>
      <c r="I218" s="66"/>
      <c r="J218" s="66"/>
      <c r="K218" s="66"/>
      <c r="L218" s="66"/>
      <c r="M218" s="66"/>
    </row>
    <row r="219" spans="1:13" ht="11.1" customHeight="1" x14ac:dyDescent="0.15">
      <c r="A219" s="68"/>
      <c r="B219" s="66"/>
      <c r="C219" s="66"/>
      <c r="D219" s="66"/>
      <c r="E219" s="66"/>
      <c r="F219" s="66"/>
      <c r="G219" s="66"/>
      <c r="H219" s="66"/>
      <c r="I219" s="66"/>
      <c r="J219" s="66"/>
      <c r="K219" s="66"/>
      <c r="L219" s="66"/>
      <c r="M219" s="66"/>
    </row>
    <row r="220" spans="1:13" ht="11.1" customHeight="1" x14ac:dyDescent="0.15">
      <c r="A220" s="68"/>
      <c r="B220" s="66"/>
      <c r="C220" s="66"/>
      <c r="D220" s="66"/>
      <c r="E220" s="66"/>
      <c r="F220" s="66"/>
      <c r="G220" s="66"/>
      <c r="H220" s="66"/>
      <c r="I220" s="66"/>
      <c r="J220" s="66"/>
      <c r="K220" s="66"/>
      <c r="L220" s="66"/>
      <c r="M220" s="66"/>
    </row>
    <row r="221" spans="1:13" ht="11.1" customHeight="1" x14ac:dyDescent="0.15">
      <c r="A221" s="68"/>
      <c r="B221" s="66"/>
      <c r="C221" s="66"/>
      <c r="D221" s="66"/>
      <c r="E221" s="66"/>
      <c r="F221" s="66"/>
      <c r="G221" s="66"/>
      <c r="H221" s="66"/>
      <c r="I221" s="66"/>
      <c r="J221" s="66"/>
      <c r="K221" s="66"/>
      <c r="L221" s="66"/>
      <c r="M221" s="66"/>
    </row>
    <row r="222" spans="1:13" ht="11.1" customHeight="1" x14ac:dyDescent="0.15">
      <c r="A222" s="68"/>
      <c r="B222" s="66"/>
      <c r="C222" s="66"/>
      <c r="D222" s="66"/>
      <c r="E222" s="66"/>
      <c r="F222" s="66"/>
      <c r="G222" s="66"/>
      <c r="H222" s="66"/>
      <c r="I222" s="66"/>
      <c r="J222" s="66"/>
      <c r="K222" s="66"/>
      <c r="L222" s="66"/>
      <c r="M222" s="66"/>
    </row>
    <row r="223" spans="1:13" ht="11.1" customHeight="1" x14ac:dyDescent="0.15">
      <c r="A223" s="68"/>
      <c r="B223" s="66"/>
      <c r="C223" s="66"/>
      <c r="D223" s="66"/>
      <c r="E223" s="66"/>
      <c r="F223" s="66"/>
      <c r="G223" s="66"/>
      <c r="H223" s="66"/>
      <c r="I223" s="66"/>
      <c r="J223" s="66"/>
      <c r="K223" s="66"/>
      <c r="L223" s="66"/>
      <c r="M223" s="66"/>
    </row>
    <row r="224" spans="1:13" ht="11.1" customHeight="1" x14ac:dyDescent="0.15">
      <c r="A224" s="68"/>
      <c r="B224" s="66"/>
      <c r="C224" s="66"/>
      <c r="D224" s="66"/>
      <c r="E224" s="66"/>
      <c r="F224" s="66"/>
      <c r="G224" s="66"/>
      <c r="H224" s="66"/>
      <c r="I224" s="66"/>
      <c r="J224" s="66"/>
      <c r="K224" s="66"/>
      <c r="L224" s="66"/>
      <c r="M224" s="66"/>
    </row>
    <row r="225" spans="1:13" ht="11.1" customHeight="1" x14ac:dyDescent="0.15">
      <c r="A225" s="68"/>
      <c r="B225" s="66"/>
      <c r="C225" s="66"/>
      <c r="D225" s="66"/>
      <c r="E225" s="66"/>
      <c r="F225" s="66"/>
      <c r="G225" s="66"/>
      <c r="H225" s="66"/>
      <c r="I225" s="66"/>
      <c r="J225" s="66"/>
      <c r="K225" s="66"/>
      <c r="L225" s="66"/>
      <c r="M225" s="66"/>
    </row>
    <row r="226" spans="1:13" ht="11.1" customHeight="1" x14ac:dyDescent="0.15">
      <c r="A226" s="68"/>
      <c r="B226" s="66"/>
      <c r="C226" s="66"/>
      <c r="D226" s="66"/>
      <c r="E226" s="66"/>
      <c r="F226" s="66"/>
      <c r="G226" s="66"/>
      <c r="H226" s="66"/>
      <c r="I226" s="66"/>
      <c r="J226" s="66"/>
      <c r="K226" s="66"/>
      <c r="L226" s="66"/>
      <c r="M226" s="66"/>
    </row>
    <row r="227" spans="1:13" ht="11.1" customHeight="1" x14ac:dyDescent="0.15">
      <c r="A227" s="68"/>
      <c r="B227" s="66"/>
      <c r="C227" s="66"/>
      <c r="D227" s="66"/>
      <c r="E227" s="66"/>
      <c r="F227" s="66"/>
      <c r="G227" s="66"/>
      <c r="H227" s="66"/>
      <c r="I227" s="66"/>
      <c r="J227" s="66"/>
      <c r="K227" s="66"/>
      <c r="L227" s="66"/>
      <c r="M227" s="66"/>
    </row>
    <row r="228" spans="1:13" ht="11.1" customHeight="1" x14ac:dyDescent="0.15">
      <c r="A228" s="68"/>
      <c r="B228" s="66"/>
      <c r="C228" s="66"/>
      <c r="D228" s="66"/>
      <c r="E228" s="66"/>
      <c r="F228" s="66"/>
      <c r="G228" s="66"/>
      <c r="H228" s="66"/>
      <c r="I228" s="66"/>
      <c r="J228" s="66"/>
      <c r="K228" s="66"/>
      <c r="L228" s="66"/>
      <c r="M228" s="66"/>
    </row>
    <row r="229" spans="1:13" ht="15.75" thickBot="1" x14ac:dyDescent="0.3">
      <c r="A229"/>
      <c r="B229"/>
      <c r="C229"/>
      <c r="D229"/>
      <c r="E229"/>
      <c r="F229"/>
      <c r="G229"/>
      <c r="H229"/>
      <c r="I229"/>
      <c r="J229"/>
      <c r="K229"/>
      <c r="L229"/>
      <c r="M229"/>
    </row>
    <row r="230" spans="1:13" ht="15" x14ac:dyDescent="0.25">
      <c r="A230" s="68"/>
      <c r="B230" s="940" t="s">
        <v>238</v>
      </c>
      <c r="C230" s="941"/>
      <c r="D230" s="941"/>
      <c r="E230" s="942"/>
      <c r="F230" s="940" t="s">
        <v>238</v>
      </c>
      <c r="G230" s="941"/>
      <c r="H230" s="941"/>
      <c r="I230" s="942"/>
      <c r="J230"/>
      <c r="K230"/>
      <c r="L230"/>
      <c r="M230"/>
    </row>
    <row r="231" spans="1:13" ht="15.75" thickBot="1" x14ac:dyDescent="0.3">
      <c r="A231" s="68"/>
      <c r="B231" s="195" t="s">
        <v>161</v>
      </c>
      <c r="C231" s="71" t="s">
        <v>162</v>
      </c>
      <c r="D231" s="71" t="s">
        <v>163</v>
      </c>
      <c r="E231" s="71" t="s">
        <v>164</v>
      </c>
      <c r="F231" s="71" t="s">
        <v>161</v>
      </c>
      <c r="G231" s="71" t="s">
        <v>162</v>
      </c>
      <c r="H231" s="71" t="s">
        <v>163</v>
      </c>
      <c r="I231" s="71" t="s">
        <v>164</v>
      </c>
      <c r="J231"/>
      <c r="K231"/>
      <c r="L231"/>
      <c r="M231"/>
    </row>
    <row r="232" spans="1:13" ht="34.35" customHeight="1" x14ac:dyDescent="0.25">
      <c r="A232" s="930" t="s">
        <v>488</v>
      </c>
      <c r="B232" s="936"/>
      <c r="C232" s="810"/>
      <c r="D232" s="810"/>
      <c r="E232" s="810"/>
      <c r="F232" s="810"/>
      <c r="G232" s="810"/>
      <c r="H232" s="810"/>
      <c r="I232" s="811"/>
      <c r="J232"/>
      <c r="K232" s="108"/>
      <c r="L232" s="108"/>
      <c r="M232"/>
    </row>
    <row r="233" spans="1:13" ht="26.1" customHeight="1" thickBot="1" x14ac:dyDescent="0.3">
      <c r="A233" s="931"/>
      <c r="B233" s="943"/>
      <c r="C233" s="812"/>
      <c r="D233" s="812"/>
      <c r="E233" s="812"/>
      <c r="F233" s="812"/>
      <c r="G233" s="812"/>
      <c r="H233" s="812"/>
      <c r="I233" s="813"/>
      <c r="J233"/>
      <c r="K233" s="108"/>
      <c r="L233" s="108"/>
      <c r="M233"/>
    </row>
    <row r="234" spans="1:13" ht="33" customHeight="1" x14ac:dyDescent="0.25">
      <c r="A234" s="930" t="s">
        <v>237</v>
      </c>
      <c r="B234" s="936"/>
      <c r="C234" s="936"/>
      <c r="D234" s="936"/>
      <c r="E234" s="936"/>
      <c r="F234" s="936"/>
      <c r="G234" s="936"/>
      <c r="H234" s="936"/>
      <c r="I234" s="938"/>
      <c r="J234"/>
      <c r="K234" s="108"/>
      <c r="L234" s="108"/>
      <c r="M234"/>
    </row>
    <row r="235" spans="1:13" ht="27.6" customHeight="1" thickBot="1" x14ac:dyDescent="0.3">
      <c r="A235" s="931"/>
      <c r="B235" s="937"/>
      <c r="C235" s="937"/>
      <c r="D235" s="937"/>
      <c r="E235" s="937"/>
      <c r="F235" s="937"/>
      <c r="G235" s="937"/>
      <c r="H235" s="937"/>
      <c r="I235" s="939"/>
      <c r="J235"/>
      <c r="K235" s="108"/>
      <c r="L235" s="108"/>
      <c r="M235"/>
    </row>
    <row r="236" spans="1:13" ht="23.45" customHeight="1" x14ac:dyDescent="0.25">
      <c r="A236" s="930" t="s">
        <v>233</v>
      </c>
      <c r="B236" s="932"/>
      <c r="C236" s="933"/>
      <c r="D236" s="933"/>
      <c r="E236" s="933"/>
      <c r="F236" s="933"/>
      <c r="G236" s="933"/>
      <c r="H236" s="933"/>
      <c r="I236" s="934"/>
      <c r="J236"/>
      <c r="K236" s="108"/>
      <c r="L236" s="108"/>
      <c r="M236"/>
    </row>
    <row r="237" spans="1:13" ht="27" customHeight="1" thickBot="1" x14ac:dyDescent="0.3">
      <c r="A237" s="931"/>
      <c r="B237" s="806"/>
      <c r="C237" s="935"/>
      <c r="D237" s="935"/>
      <c r="E237" s="935"/>
      <c r="F237" s="935"/>
      <c r="G237" s="935"/>
      <c r="H237" s="935"/>
      <c r="I237" s="807"/>
      <c r="J237"/>
      <c r="K237"/>
      <c r="L237"/>
      <c r="M237"/>
    </row>
    <row r="238" spans="1:13" ht="15" x14ac:dyDescent="0.25">
      <c r="A238"/>
      <c r="B238"/>
      <c r="C238"/>
      <c r="D238"/>
      <c r="E238"/>
      <c r="F238"/>
      <c r="G238"/>
      <c r="H238"/>
      <c r="I238"/>
      <c r="J238"/>
      <c r="K238"/>
      <c r="L238"/>
      <c r="M238"/>
    </row>
    <row r="239" spans="1:13" ht="15" x14ac:dyDescent="0.25">
      <c r="A239"/>
      <c r="B239"/>
      <c r="C239"/>
      <c r="D239"/>
      <c r="E239"/>
      <c r="F239"/>
      <c r="G239"/>
      <c r="H239"/>
      <c r="I239"/>
      <c r="J239"/>
      <c r="K239"/>
      <c r="L239"/>
      <c r="M239"/>
    </row>
    <row r="240" spans="1:13" ht="15" x14ac:dyDescent="0.25">
      <c r="A240"/>
      <c r="B240"/>
      <c r="C240"/>
      <c r="D240"/>
      <c r="E240"/>
      <c r="F240"/>
      <c r="G240"/>
      <c r="H240"/>
      <c r="I240"/>
      <c r="J240"/>
      <c r="K240"/>
      <c r="L240"/>
      <c r="M240"/>
    </row>
    <row r="241" spans="1:13" ht="15" x14ac:dyDescent="0.25">
      <c r="A241"/>
      <c r="B241"/>
      <c r="C241"/>
      <c r="D241"/>
      <c r="E241"/>
      <c r="F241"/>
      <c r="G241"/>
      <c r="H241"/>
      <c r="I241"/>
      <c r="J241"/>
      <c r="K241"/>
      <c r="L241"/>
      <c r="M241"/>
    </row>
    <row r="242" spans="1:13" ht="15" x14ac:dyDescent="0.25">
      <c r="A242"/>
      <c r="B242"/>
      <c r="C242"/>
      <c r="D242"/>
      <c r="E242"/>
      <c r="F242"/>
      <c r="G242"/>
      <c r="H242"/>
      <c r="I242"/>
      <c r="J242"/>
      <c r="K242"/>
      <c r="L242"/>
      <c r="M242"/>
    </row>
    <row r="243" spans="1:13" ht="15" x14ac:dyDescent="0.25">
      <c r="A243"/>
      <c r="B243"/>
      <c r="C243"/>
      <c r="D243"/>
      <c r="E243"/>
      <c r="F243"/>
      <c r="G243"/>
      <c r="H243"/>
      <c r="I243"/>
      <c r="J243"/>
      <c r="K243"/>
      <c r="L243"/>
      <c r="M243"/>
    </row>
    <row r="244" spans="1:13" ht="15" x14ac:dyDescent="0.25">
      <c r="A244"/>
      <c r="B244"/>
      <c r="C244"/>
      <c r="D244"/>
      <c r="E244"/>
      <c r="F244"/>
      <c r="G244"/>
      <c r="H244"/>
      <c r="I244"/>
      <c r="J244"/>
      <c r="K244"/>
      <c r="L244"/>
      <c r="M244"/>
    </row>
    <row r="245" spans="1:13" ht="15" x14ac:dyDescent="0.25">
      <c r="A245"/>
      <c r="B245"/>
      <c r="C245"/>
      <c r="D245"/>
      <c r="E245"/>
      <c r="F245"/>
      <c r="G245"/>
      <c r="H245"/>
      <c r="I245"/>
      <c r="J245"/>
      <c r="K245"/>
      <c r="L245"/>
      <c r="M245"/>
    </row>
    <row r="246" spans="1:13" ht="15" x14ac:dyDescent="0.25">
      <c r="A246"/>
      <c r="B246"/>
      <c r="C246"/>
      <c r="D246"/>
      <c r="E246"/>
      <c r="F246"/>
      <c r="G246"/>
      <c r="H246"/>
      <c r="I246"/>
      <c r="J246"/>
      <c r="K246"/>
      <c r="L246"/>
      <c r="M246"/>
    </row>
    <row r="247" spans="1:13" ht="15" x14ac:dyDescent="0.25">
      <c r="A247"/>
      <c r="B247"/>
      <c r="C247"/>
      <c r="D247"/>
      <c r="E247"/>
      <c r="F247"/>
      <c r="G247"/>
      <c r="H247"/>
      <c r="I247"/>
      <c r="J247"/>
      <c r="K247"/>
      <c r="L247"/>
      <c r="M247"/>
    </row>
    <row r="248" spans="1:13" ht="15" x14ac:dyDescent="0.25">
      <c r="A248"/>
      <c r="B248"/>
      <c r="C248"/>
      <c r="D248"/>
      <c r="E248"/>
      <c r="F248"/>
      <c r="G248"/>
      <c r="H248"/>
      <c r="I248"/>
      <c r="J248"/>
      <c r="K248"/>
      <c r="L248"/>
      <c r="M248"/>
    </row>
    <row r="249" spans="1:13" ht="15" x14ac:dyDescent="0.25">
      <c r="A249"/>
      <c r="B249"/>
      <c r="C249"/>
      <c r="D249"/>
      <c r="E249"/>
      <c r="F249"/>
      <c r="G249"/>
      <c r="H249"/>
      <c r="I249"/>
      <c r="J249"/>
      <c r="K249"/>
      <c r="L249"/>
      <c r="M249"/>
    </row>
    <row r="250" spans="1:13" ht="15" x14ac:dyDescent="0.25">
      <c r="A250"/>
      <c r="B250"/>
      <c r="C250"/>
      <c r="D250"/>
      <c r="E250"/>
      <c r="F250"/>
      <c r="G250"/>
      <c r="H250"/>
      <c r="I250"/>
      <c r="J250"/>
      <c r="K250"/>
      <c r="L250"/>
      <c r="M250"/>
    </row>
    <row r="251" spans="1:13" ht="15" x14ac:dyDescent="0.25">
      <c r="A251"/>
      <c r="B251"/>
      <c r="C251"/>
      <c r="D251"/>
      <c r="E251"/>
      <c r="F251"/>
      <c r="G251"/>
      <c r="H251"/>
      <c r="I251"/>
      <c r="J251"/>
      <c r="K251"/>
      <c r="L251"/>
      <c r="M251"/>
    </row>
    <row r="252" spans="1:13" ht="15" x14ac:dyDescent="0.25">
      <c r="A252"/>
      <c r="B252"/>
      <c r="C252"/>
      <c r="D252"/>
      <c r="E252"/>
      <c r="F252"/>
      <c r="G252"/>
      <c r="H252"/>
      <c r="I252"/>
      <c r="J252"/>
      <c r="K252"/>
      <c r="L252"/>
      <c r="M252"/>
    </row>
    <row r="253" spans="1:13" ht="15" x14ac:dyDescent="0.25">
      <c r="A253"/>
      <c r="B253"/>
      <c r="C253"/>
      <c r="D253"/>
      <c r="E253"/>
      <c r="F253"/>
      <c r="G253"/>
      <c r="H253"/>
      <c r="I253"/>
      <c r="J253"/>
      <c r="K253"/>
      <c r="L253"/>
      <c r="M253"/>
    </row>
    <row r="254" spans="1:13" ht="15" x14ac:dyDescent="0.25">
      <c r="A254"/>
      <c r="B254"/>
      <c r="C254"/>
      <c r="D254"/>
      <c r="E254"/>
      <c r="F254"/>
      <c r="G254"/>
      <c r="H254"/>
      <c r="I254"/>
      <c r="J254"/>
      <c r="K254"/>
      <c r="L254"/>
      <c r="M254"/>
    </row>
  </sheetData>
  <mergeCells count="149">
    <mergeCell ref="J204:M204"/>
    <mergeCell ref="J206:J207"/>
    <mergeCell ref="K206:K207"/>
    <mergeCell ref="L206:L207"/>
    <mergeCell ref="M206:M207"/>
    <mergeCell ref="L5:M5"/>
    <mergeCell ref="G208:G209"/>
    <mergeCell ref="A195:A199"/>
    <mergeCell ref="F195:H195"/>
    <mergeCell ref="F196:H196"/>
    <mergeCell ref="F197:H197"/>
    <mergeCell ref="F198:H198"/>
    <mergeCell ref="F199:H199"/>
    <mergeCell ref="A187:A193"/>
    <mergeCell ref="B187:B188"/>
    <mergeCell ref="C187:C188"/>
    <mergeCell ref="D187:D188"/>
    <mergeCell ref="E187:F188"/>
    <mergeCell ref="E189:F189"/>
    <mergeCell ref="E190:F190"/>
    <mergeCell ref="E191:F191"/>
    <mergeCell ref="B204:E204"/>
    <mergeCell ref="C206:C207"/>
    <mergeCell ref="D206:D207"/>
    <mergeCell ref="A206:A207"/>
    <mergeCell ref="B206:B207"/>
    <mergeCell ref="A208:A209"/>
    <mergeCell ref="B208:B209"/>
    <mergeCell ref="J208:J209"/>
    <mergeCell ref="K208:K209"/>
    <mergeCell ref="L208:L209"/>
    <mergeCell ref="M208:M209"/>
    <mergeCell ref="A210:A211"/>
    <mergeCell ref="F208:F209"/>
    <mergeCell ref="H208:H209"/>
    <mergeCell ref="I208:I209"/>
    <mergeCell ref="E206:E207"/>
    <mergeCell ref="C208:C209"/>
    <mergeCell ref="D208:D209"/>
    <mergeCell ref="E208:E209"/>
    <mergeCell ref="B124:B125"/>
    <mergeCell ref="C124:D124"/>
    <mergeCell ref="A142:C142"/>
    <mergeCell ref="B114:B115"/>
    <mergeCell ref="C155:E155"/>
    <mergeCell ref="A153:C153"/>
    <mergeCell ref="A162:C162"/>
    <mergeCell ref="A164:A166"/>
    <mergeCell ref="B164:B166"/>
    <mergeCell ref="C164:C166"/>
    <mergeCell ref="A146:A147"/>
    <mergeCell ref="B146:B147"/>
    <mergeCell ref="D147:G147"/>
    <mergeCell ref="C146:G146"/>
    <mergeCell ref="D148:G148"/>
    <mergeCell ref="D149:G149"/>
    <mergeCell ref="D150:G150"/>
    <mergeCell ref="D151:G151"/>
    <mergeCell ref="A155:A156"/>
    <mergeCell ref="B155:B156"/>
    <mergeCell ref="A102:E102"/>
    <mergeCell ref="A89:A90"/>
    <mergeCell ref="B89:B90"/>
    <mergeCell ref="C89:E89"/>
    <mergeCell ref="B104:B105"/>
    <mergeCell ref="F204:I204"/>
    <mergeCell ref="F206:F207"/>
    <mergeCell ref="G206:G207"/>
    <mergeCell ref="H206:H207"/>
    <mergeCell ref="I206:I207"/>
    <mergeCell ref="D164:D166"/>
    <mergeCell ref="E164:E166"/>
    <mergeCell ref="A172:C172"/>
    <mergeCell ref="A174:A176"/>
    <mergeCell ref="B174:B176"/>
    <mergeCell ref="C174:C176"/>
    <mergeCell ref="D174:D176"/>
    <mergeCell ref="A114:A115"/>
    <mergeCell ref="C114:D114"/>
    <mergeCell ref="E114:F114"/>
    <mergeCell ref="E192:F192"/>
    <mergeCell ref="E193:F193"/>
    <mergeCell ref="A124:A125"/>
    <mergeCell ref="A144:B144"/>
    <mergeCell ref="A80:A81"/>
    <mergeCell ref="C80:E80"/>
    <mergeCell ref="F80:H80"/>
    <mergeCell ref="A104:A105"/>
    <mergeCell ref="C104:D104"/>
    <mergeCell ref="E104:F104"/>
    <mergeCell ref="B80:B81"/>
    <mergeCell ref="A5:C5"/>
    <mergeCell ref="H9:H11"/>
    <mergeCell ref="B45:B47"/>
    <mergeCell ref="B71:B72"/>
    <mergeCell ref="A69:C69"/>
    <mergeCell ref="A56:A58"/>
    <mergeCell ref="B56:B58"/>
    <mergeCell ref="C56:F56"/>
    <mergeCell ref="C57:F57"/>
    <mergeCell ref="C45:F45"/>
    <mergeCell ref="C71:E71"/>
    <mergeCell ref="F71:H71"/>
    <mergeCell ref="A45:A47"/>
    <mergeCell ref="C46:F46"/>
    <mergeCell ref="G46:J46"/>
    <mergeCell ref="G45:J45"/>
    <mergeCell ref="A71:A72"/>
    <mergeCell ref="I9:I11"/>
    <mergeCell ref="A36:A38"/>
    <mergeCell ref="C37:F37"/>
    <mergeCell ref="B9:B11"/>
    <mergeCell ref="C9:C11"/>
    <mergeCell ref="D9:D11"/>
    <mergeCell ref="E9:E11"/>
    <mergeCell ref="F9:F11"/>
    <mergeCell ref="G9:G11"/>
    <mergeCell ref="C36:F36"/>
    <mergeCell ref="G36:J36"/>
    <mergeCell ref="G37:J37"/>
    <mergeCell ref="A9:A11"/>
    <mergeCell ref="J9:M9"/>
    <mergeCell ref="J10:M10"/>
    <mergeCell ref="A34:B34"/>
    <mergeCell ref="B36:B38"/>
    <mergeCell ref="A236:A237"/>
    <mergeCell ref="B236:I237"/>
    <mergeCell ref="A202:D202"/>
    <mergeCell ref="A234:A235"/>
    <mergeCell ref="B234:B235"/>
    <mergeCell ref="C234:C235"/>
    <mergeCell ref="D234:D235"/>
    <mergeCell ref="E234:E235"/>
    <mergeCell ref="F234:F235"/>
    <mergeCell ref="G234:G235"/>
    <mergeCell ref="H234:H235"/>
    <mergeCell ref="I234:I235"/>
    <mergeCell ref="B230:E230"/>
    <mergeCell ref="F230:I230"/>
    <mergeCell ref="A232:A233"/>
    <mergeCell ref="B232:B233"/>
    <mergeCell ref="C232:C233"/>
    <mergeCell ref="D232:D233"/>
    <mergeCell ref="E232:E233"/>
    <mergeCell ref="F232:F233"/>
    <mergeCell ref="G232:G233"/>
    <mergeCell ref="H232:H233"/>
    <mergeCell ref="I232:I233"/>
    <mergeCell ref="B210:M211"/>
  </mergeCells>
  <hyperlinks>
    <hyperlink ref="L5:M5" location="Índice!A1" display="Voltar ao índice" xr:uid="{00000000-0004-0000-1100-000000000000}"/>
  </hyperlinks>
  <pageMargins left="0.70866141732283472" right="0.70866141732283472" top="1.3779527559055118" bottom="0.74803149606299213" header="0.31496062992125984" footer="0.31496062992125984"/>
  <pageSetup paperSize="9" scale="65" fitToHeight="0" orientation="landscape" r:id="rId1"/>
  <headerFooter>
    <oddHeader>&amp;L&amp;G&amp;C&amp;"-,Negrito"
&amp;24Caderno de Campo</oddHeader>
    <oddFooter>&amp;C&amp;G</oddFooter>
  </headerFooter>
  <rowBreaks count="3" manualBreakCount="3">
    <brk id="31" max="16383" man="1"/>
    <brk id="66" max="16383" man="1"/>
    <brk id="99" max="16383" man="1"/>
  </rowBreaks>
  <legacyDrawing r:id="rId2"/>
  <legacyDrawingHF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2:I12"/>
  <sheetViews>
    <sheetView showGridLines="0" showRuler="0" view="pageLayout" zoomScale="70" zoomScaleNormal="100" zoomScalePageLayoutView="70" workbookViewId="0">
      <selection activeCell="A2" sqref="A2"/>
    </sheetView>
  </sheetViews>
  <sheetFormatPr defaultColWidth="9.140625" defaultRowHeight="15" x14ac:dyDescent="0.25"/>
  <cols>
    <col min="1" max="1" width="23" customWidth="1"/>
    <col min="2" max="2" width="17.85546875" customWidth="1"/>
    <col min="3" max="3" width="18.140625" customWidth="1"/>
    <col min="4" max="8" width="23" customWidth="1"/>
    <col min="11" max="11" width="12.5703125" customWidth="1"/>
    <col min="12" max="12" width="17.42578125" bestFit="1" customWidth="1"/>
  </cols>
  <sheetData>
    <row r="2" spans="1:9" ht="17.25" x14ac:dyDescent="0.3">
      <c r="A2" s="33" t="s">
        <v>249</v>
      </c>
      <c r="B2" s="48"/>
      <c r="C2" s="48"/>
      <c r="H2" s="315" t="s">
        <v>375</v>
      </c>
    </row>
    <row r="4" spans="1:9" ht="15.75" thickBot="1" x14ac:dyDescent="0.3"/>
    <row r="5" spans="1:9" ht="15" customHeight="1" thickBot="1" x14ac:dyDescent="0.3">
      <c r="A5" s="654" t="s">
        <v>44</v>
      </c>
      <c r="B5" s="654" t="s">
        <v>45</v>
      </c>
      <c r="C5" s="654" t="s">
        <v>398</v>
      </c>
      <c r="D5" s="990" t="s">
        <v>47</v>
      </c>
      <c r="E5" s="991"/>
      <c r="F5" s="991"/>
      <c r="G5" s="991"/>
      <c r="H5" s="991"/>
      <c r="I5" s="992"/>
    </row>
    <row r="6" spans="1:9" ht="15" customHeight="1" thickBot="1" x14ac:dyDescent="0.3">
      <c r="A6" s="655"/>
      <c r="B6" s="655"/>
      <c r="C6" s="655"/>
      <c r="D6" s="987" t="s">
        <v>50</v>
      </c>
      <c r="E6" s="988"/>
      <c r="F6" s="989"/>
      <c r="G6" s="987" t="s">
        <v>51</v>
      </c>
      <c r="H6" s="988"/>
      <c r="I6" s="989"/>
    </row>
    <row r="7" spans="1:9" ht="45.75" thickBot="1" x14ac:dyDescent="0.3">
      <c r="A7" s="656"/>
      <c r="B7" s="656"/>
      <c r="C7" s="656"/>
      <c r="D7" s="426" t="s">
        <v>54</v>
      </c>
      <c r="E7" s="426" t="s">
        <v>55</v>
      </c>
      <c r="F7" s="426" t="s">
        <v>56</v>
      </c>
      <c r="G7" s="426" t="s">
        <v>57</v>
      </c>
      <c r="H7" s="426" t="s">
        <v>58</v>
      </c>
      <c r="I7" s="426" t="s">
        <v>59</v>
      </c>
    </row>
    <row r="8" spans="1:9" ht="15.75" thickBot="1" x14ac:dyDescent="0.3">
      <c r="A8" s="41"/>
      <c r="B8" s="42"/>
      <c r="C8" s="42"/>
      <c r="D8" s="42"/>
      <c r="E8" s="42"/>
      <c r="F8" s="42"/>
      <c r="G8" s="42"/>
      <c r="H8" s="43"/>
      <c r="I8" s="43"/>
    </row>
    <row r="9" spans="1:9" ht="15.75" thickBot="1" x14ac:dyDescent="0.3">
      <c r="A9" s="44"/>
      <c r="B9" s="45"/>
      <c r="C9" s="45"/>
      <c r="D9" s="46"/>
      <c r="E9" s="45"/>
      <c r="F9" s="45"/>
      <c r="G9" s="46"/>
      <c r="H9" s="47"/>
      <c r="I9" s="47"/>
    </row>
    <row r="10" spans="1:9" ht="15.75" thickBot="1" x14ac:dyDescent="0.3">
      <c r="A10" s="44"/>
      <c r="B10" s="45"/>
      <c r="C10" s="45"/>
      <c r="D10" s="46"/>
      <c r="E10" s="45"/>
      <c r="F10" s="45"/>
      <c r="G10" s="46"/>
      <c r="H10" s="47"/>
      <c r="I10" s="47"/>
    </row>
    <row r="11" spans="1:9" ht="15.75" thickBot="1" x14ac:dyDescent="0.3">
      <c r="A11" s="44"/>
      <c r="B11" s="45"/>
      <c r="C11" s="45"/>
      <c r="D11" s="46"/>
      <c r="E11" s="45"/>
      <c r="F11" s="45"/>
      <c r="G11" s="46"/>
      <c r="H11" s="47"/>
      <c r="I11" s="47"/>
    </row>
    <row r="12" spans="1:9" ht="15.75" thickBot="1" x14ac:dyDescent="0.3">
      <c r="A12" s="44"/>
      <c r="B12" s="45"/>
      <c r="C12" s="45"/>
      <c r="D12" s="46"/>
      <c r="E12" s="45"/>
      <c r="F12" s="45"/>
      <c r="G12" s="46"/>
      <c r="H12" s="47"/>
      <c r="I12" s="47"/>
    </row>
  </sheetData>
  <mergeCells count="6">
    <mergeCell ref="G6:I6"/>
    <mergeCell ref="A5:A7"/>
    <mergeCell ref="C5:C7"/>
    <mergeCell ref="D5:I5"/>
    <mergeCell ref="D6:F6"/>
    <mergeCell ref="B5:B7"/>
  </mergeCells>
  <hyperlinks>
    <hyperlink ref="H2" location="Índice!A1" display="Voltar ao índice" xr:uid="{00000000-0004-0000-1200-000000000000}"/>
  </hyperlinks>
  <pageMargins left="0.70866141732283472" right="0.70866141732283472" top="1.3779527559055118" bottom="0.74803149606299213" header="0.31496062992125984" footer="0.31496062992125984"/>
  <pageSetup paperSize="9" scale="71" orientation="landscape" r:id="rId1"/>
  <headerFooter>
    <oddHeader>&amp;L&amp;G&amp;C&amp;"-,Negrito"
&amp;24Caderno de Campo</oddHeader>
    <oddFooter>&amp;C&amp;G</oddFooter>
  </headerFooter>
  <legacyDrawing r:id="rId2"/>
  <legacyDrawingHF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39997558519241921"/>
    <pageSetUpPr fitToPage="1"/>
  </sheetPr>
  <dimension ref="A3:C25"/>
  <sheetViews>
    <sheetView showGridLines="0" showRowColHeaders="0" showRuler="0" view="pageLayout" topLeftCell="A16" zoomScale="90" zoomScaleNormal="100" zoomScalePageLayoutView="90" workbookViewId="0">
      <selection activeCell="B11" sqref="B11"/>
    </sheetView>
  </sheetViews>
  <sheetFormatPr defaultRowHeight="15" x14ac:dyDescent="0.25"/>
  <cols>
    <col min="1" max="1" width="43.140625" bestFit="1" customWidth="1"/>
    <col min="2" max="2" width="39.42578125" customWidth="1"/>
    <col min="3" max="3" width="35" customWidth="1"/>
  </cols>
  <sheetData>
    <row r="3" spans="1:3" ht="17.25" x14ac:dyDescent="0.3">
      <c r="A3" s="33" t="s">
        <v>260</v>
      </c>
      <c r="C3" s="315" t="s">
        <v>375</v>
      </c>
    </row>
    <row r="4" spans="1:3" ht="15.75" thickBot="1" x14ac:dyDescent="0.3"/>
    <row r="5" spans="1:3" ht="30.75" thickBot="1" x14ac:dyDescent="0.3">
      <c r="A5" s="453" t="s">
        <v>489</v>
      </c>
      <c r="B5" s="393" t="s">
        <v>491</v>
      </c>
      <c r="C5" s="393" t="s">
        <v>490</v>
      </c>
    </row>
    <row r="6" spans="1:3" ht="24" customHeight="1" thickBot="1" x14ac:dyDescent="0.3">
      <c r="A6" s="993" t="s">
        <v>267</v>
      </c>
      <c r="B6" s="994"/>
      <c r="C6" s="995"/>
    </row>
    <row r="7" spans="1:3" ht="15.75" thickBot="1" x14ac:dyDescent="0.3">
      <c r="A7" s="323" t="s">
        <v>268</v>
      </c>
      <c r="B7" s="324"/>
      <c r="C7" s="324"/>
    </row>
    <row r="8" spans="1:3" ht="30.75" thickBot="1" x14ac:dyDescent="0.3">
      <c r="A8" s="323" t="s">
        <v>269</v>
      </c>
      <c r="B8" s="324"/>
      <c r="C8" s="324"/>
    </row>
    <row r="9" spans="1:3" ht="15.75" thickBot="1" x14ac:dyDescent="0.3">
      <c r="A9" s="323" t="s">
        <v>270</v>
      </c>
      <c r="B9" s="324"/>
      <c r="C9" s="324"/>
    </row>
    <row r="10" spans="1:3" ht="15.75" thickBot="1" x14ac:dyDescent="0.3">
      <c r="A10" s="993" t="s">
        <v>271</v>
      </c>
      <c r="B10" s="994"/>
      <c r="C10" s="995"/>
    </row>
    <row r="11" spans="1:3" ht="30.75" thickBot="1" x14ac:dyDescent="0.3">
      <c r="A11" s="323" t="s">
        <v>272</v>
      </c>
      <c r="B11" s="324"/>
      <c r="C11" s="324"/>
    </row>
    <row r="12" spans="1:3" ht="30.75" thickBot="1" x14ac:dyDescent="0.3">
      <c r="A12" s="323" t="s">
        <v>273</v>
      </c>
      <c r="B12" s="324"/>
      <c r="C12" s="324"/>
    </row>
    <row r="13" spans="1:3" ht="15.75" thickBot="1" x14ac:dyDescent="0.3">
      <c r="A13" s="993" t="s">
        <v>274</v>
      </c>
      <c r="B13" s="994"/>
      <c r="C13" s="995"/>
    </row>
    <row r="14" spans="1:3" ht="15.75" thickBot="1" x14ac:dyDescent="0.3">
      <c r="A14" s="323" t="s">
        <v>275</v>
      </c>
      <c r="B14" s="324"/>
      <c r="C14" s="324"/>
    </row>
    <row r="15" spans="1:3" ht="15.75" thickBot="1" x14ac:dyDescent="0.3">
      <c r="A15" s="996" t="s">
        <v>276</v>
      </c>
      <c r="B15" s="997"/>
      <c r="C15" s="324"/>
    </row>
    <row r="16" spans="1:3" ht="15.75" thickBot="1" x14ac:dyDescent="0.3">
      <c r="A16" s="323" t="s">
        <v>277</v>
      </c>
      <c r="B16" s="324"/>
      <c r="C16" s="324"/>
    </row>
    <row r="17" spans="1:3" ht="15.75" thickBot="1" x14ac:dyDescent="0.3">
      <c r="A17" s="325" t="s">
        <v>278</v>
      </c>
      <c r="B17" s="324"/>
      <c r="C17" s="324"/>
    </row>
    <row r="18" spans="1:3" ht="15.75" thickBot="1" x14ac:dyDescent="0.3">
      <c r="A18" s="326" t="s">
        <v>279</v>
      </c>
      <c r="B18" s="324"/>
      <c r="C18" s="324"/>
    </row>
    <row r="19" spans="1:3" ht="36" customHeight="1" thickBot="1" x14ac:dyDescent="0.3">
      <c r="A19" s="996" t="s">
        <v>280</v>
      </c>
      <c r="B19" s="997"/>
      <c r="C19" s="998"/>
    </row>
    <row r="20" spans="1:3" ht="15.75" thickBot="1" x14ac:dyDescent="0.3">
      <c r="A20" s="323" t="s">
        <v>281</v>
      </c>
      <c r="B20" s="324"/>
      <c r="C20" s="324"/>
    </row>
    <row r="21" spans="1:3" ht="15.75" thickBot="1" x14ac:dyDescent="0.3">
      <c r="A21" s="323" t="s">
        <v>282</v>
      </c>
      <c r="B21" s="324"/>
      <c r="C21" s="324"/>
    </row>
    <row r="22" spans="1:3" ht="30.75" thickBot="1" x14ac:dyDescent="0.3">
      <c r="A22" s="323" t="s">
        <v>283</v>
      </c>
      <c r="B22" s="324"/>
      <c r="C22" s="324"/>
    </row>
    <row r="23" spans="1:3" ht="15.75" thickBot="1" x14ac:dyDescent="0.3">
      <c r="A23" s="993" t="s">
        <v>284</v>
      </c>
      <c r="B23" s="994"/>
      <c r="C23" s="995"/>
    </row>
    <row r="24" spans="1:3" ht="15.75" thickBot="1" x14ac:dyDescent="0.3">
      <c r="A24" s="323" t="s">
        <v>285</v>
      </c>
      <c r="B24" s="324"/>
      <c r="C24" s="324"/>
    </row>
    <row r="25" spans="1:3" ht="30.75" thickBot="1" x14ac:dyDescent="0.3">
      <c r="A25" s="323" t="s">
        <v>286</v>
      </c>
      <c r="B25" s="324"/>
      <c r="C25" s="324"/>
    </row>
  </sheetData>
  <mergeCells count="6">
    <mergeCell ref="A23:C23"/>
    <mergeCell ref="A15:B15"/>
    <mergeCell ref="A19:C19"/>
    <mergeCell ref="A6:C6"/>
    <mergeCell ref="A10:C10"/>
    <mergeCell ref="A13:C13"/>
  </mergeCells>
  <hyperlinks>
    <hyperlink ref="C3" location="Índice!A1" display="Voltar ao índice" xr:uid="{00000000-0004-0000-1300-000000000000}"/>
  </hyperlinks>
  <pageMargins left="0.7" right="0.7" top="1.34375" bottom="0.75" header="0.3" footer="0.3"/>
  <pageSetup paperSize="9" scale="74" fitToHeight="0" orientation="portrait" r:id="rId1"/>
  <headerFooter>
    <oddHeader>&amp;L&amp;G&amp;C
&amp;"-,Negrito"&amp;24Caderno de Campo</oddHeader>
    <oddFooter>&amp;C&amp;G</oddFooter>
  </headerFooter>
  <legacyDrawing r:id="rId2"/>
  <legacyDrawingHF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39997558519241921"/>
    <pageSetUpPr fitToPage="1"/>
  </sheetPr>
  <dimension ref="A1:S32"/>
  <sheetViews>
    <sheetView showGridLines="0" showRuler="0" view="pageLayout" topLeftCell="A12" zoomScale="70" zoomScaleNormal="60" zoomScalePageLayoutView="70" workbookViewId="0">
      <selection activeCell="R1" sqref="R1:S1"/>
    </sheetView>
  </sheetViews>
  <sheetFormatPr defaultRowHeight="15" x14ac:dyDescent="0.25"/>
  <cols>
    <col min="1" max="1" width="25.42578125" customWidth="1"/>
    <col min="2" max="2" width="6" customWidth="1"/>
    <col min="3" max="3" width="14.140625" customWidth="1"/>
    <col min="4" max="4" width="16.140625" customWidth="1"/>
    <col min="6" max="6" width="20.42578125" customWidth="1"/>
    <col min="7" max="7" width="13" customWidth="1"/>
    <col min="9" max="9" width="11.5703125" customWidth="1"/>
    <col min="10" max="10" width="12.5703125" customWidth="1"/>
    <col min="11" max="11" width="11.42578125" customWidth="1"/>
    <col min="12" max="12" width="11.5703125" customWidth="1"/>
    <col min="18" max="18" width="11.140625" customWidth="1"/>
  </cols>
  <sheetData>
    <row r="1" spans="1:19" ht="17.25" x14ac:dyDescent="0.3">
      <c r="A1" s="33" t="s">
        <v>261</v>
      </c>
      <c r="R1" s="604" t="s">
        <v>375</v>
      </c>
      <c r="S1" s="604"/>
    </row>
    <row r="2" spans="1:19" ht="15.75" thickBot="1" x14ac:dyDescent="0.3"/>
    <row r="3" spans="1:19" ht="15.75" thickTop="1" x14ac:dyDescent="0.25">
      <c r="A3" s="999" t="s">
        <v>287</v>
      </c>
      <c r="B3" s="1000"/>
      <c r="C3" s="66"/>
      <c r="D3" s="1002"/>
    </row>
    <row r="4" spans="1:19" ht="15.75" thickBot="1" x14ac:dyDescent="0.3">
      <c r="A4" s="999"/>
      <c r="B4" s="1001"/>
      <c r="C4" s="66"/>
      <c r="D4" s="1002"/>
    </row>
    <row r="5" spans="1:19" ht="33.950000000000003" customHeight="1" thickTop="1" thickBot="1" x14ac:dyDescent="0.3">
      <c r="A5" s="330" t="s">
        <v>288</v>
      </c>
    </row>
    <row r="6" spans="1:19" ht="30.75" thickBot="1" x14ac:dyDescent="0.3">
      <c r="A6" s="331" t="s">
        <v>289</v>
      </c>
      <c r="B6" s="320"/>
      <c r="C6" s="331" t="s">
        <v>290</v>
      </c>
      <c r="D6" s="332"/>
      <c r="E6" s="124" t="s">
        <v>291</v>
      </c>
      <c r="F6" s="258"/>
      <c r="G6" s="331" t="s">
        <v>292</v>
      </c>
      <c r="H6" s="332"/>
      <c r="I6" s="124" t="s">
        <v>293</v>
      </c>
      <c r="J6" s="258"/>
      <c r="K6" s="124" t="s">
        <v>294</v>
      </c>
      <c r="L6" s="258"/>
    </row>
    <row r="7" spans="1:19" ht="15.75" thickBot="1" x14ac:dyDescent="0.3">
      <c r="A7" s="136" t="s">
        <v>295</v>
      </c>
    </row>
    <row r="8" spans="1:19" ht="33.950000000000003" customHeight="1" thickBot="1" x14ac:dyDescent="0.3">
      <c r="A8" s="333" t="s">
        <v>296</v>
      </c>
      <c r="B8" s="318"/>
      <c r="C8" s="1003" t="s">
        <v>298</v>
      </c>
      <c r="D8" s="1004"/>
      <c r="E8" s="1005" t="s">
        <v>299</v>
      </c>
      <c r="F8" s="1006"/>
      <c r="G8" s="332"/>
      <c r="H8" s="1003" t="s">
        <v>300</v>
      </c>
      <c r="I8" s="1014"/>
      <c r="J8" s="1004"/>
      <c r="K8" s="1005" t="s">
        <v>301</v>
      </c>
      <c r="L8" s="1015"/>
      <c r="M8" s="1006"/>
      <c r="N8" s="332"/>
      <c r="O8" s="1003" t="s">
        <v>302</v>
      </c>
      <c r="P8" s="1007"/>
      <c r="Q8" s="332"/>
      <c r="R8" s="1003" t="s">
        <v>303</v>
      </c>
      <c r="S8" s="1007"/>
    </row>
    <row r="9" spans="1:19" ht="33.950000000000003" customHeight="1" thickBot="1" x14ac:dyDescent="0.3">
      <c r="A9" s="334" t="s">
        <v>297</v>
      </c>
      <c r="B9" s="196"/>
      <c r="C9" s="1008" t="s">
        <v>304</v>
      </c>
      <c r="D9" s="1009"/>
      <c r="E9" s="1011" t="s">
        <v>297</v>
      </c>
      <c r="F9" s="1010"/>
      <c r="G9" s="335"/>
      <c r="H9" s="1008" t="s">
        <v>305</v>
      </c>
      <c r="I9" s="662"/>
      <c r="J9" s="1009"/>
      <c r="K9" s="1016"/>
      <c r="L9" s="715"/>
      <c r="M9" s="1017"/>
      <c r="N9" s="114"/>
      <c r="O9" s="662"/>
      <c r="P9" s="1010"/>
      <c r="Q9" s="335"/>
      <c r="R9" s="1008" t="s">
        <v>306</v>
      </c>
      <c r="S9" s="1010"/>
    </row>
    <row r="10" spans="1:19" ht="22.35" customHeight="1" thickBot="1" x14ac:dyDescent="0.3">
      <c r="A10" s="327"/>
      <c r="B10" s="196"/>
      <c r="C10" s="1008" t="s">
        <v>307</v>
      </c>
      <c r="D10" s="1009"/>
      <c r="E10" s="1012"/>
      <c r="F10" s="1013"/>
      <c r="G10" s="335"/>
      <c r="H10" s="1021" t="s">
        <v>308</v>
      </c>
      <c r="I10" s="1022"/>
      <c r="J10" s="1023"/>
      <c r="K10" s="1016"/>
      <c r="L10" s="715"/>
      <c r="M10" s="1017"/>
      <c r="N10" s="114"/>
      <c r="O10" s="662"/>
      <c r="P10" s="1010"/>
      <c r="Q10" s="335"/>
      <c r="R10" s="1008" t="s">
        <v>309</v>
      </c>
      <c r="S10" s="1010"/>
    </row>
    <row r="11" spans="1:19" ht="30" customHeight="1" thickBot="1" x14ac:dyDescent="0.3">
      <c r="A11" s="327"/>
      <c r="B11" s="336"/>
      <c r="C11" s="1008" t="s">
        <v>310</v>
      </c>
      <c r="D11" s="1009"/>
      <c r="E11" s="1005" t="s">
        <v>311</v>
      </c>
      <c r="F11" s="1015"/>
      <c r="G11" s="114"/>
      <c r="H11" s="1014"/>
      <c r="I11" s="1014"/>
      <c r="J11" s="1004"/>
      <c r="K11" s="1016"/>
      <c r="L11" s="715"/>
      <c r="M11" s="1017"/>
      <c r="N11" s="258"/>
      <c r="O11" s="662"/>
      <c r="P11" s="1010"/>
      <c r="Q11" s="335"/>
      <c r="R11" s="1008" t="s">
        <v>313</v>
      </c>
      <c r="S11" s="1010"/>
    </row>
    <row r="12" spans="1:19" ht="29.25" customHeight="1" thickBot="1" x14ac:dyDescent="0.3">
      <c r="A12" s="328"/>
      <c r="B12" s="67"/>
      <c r="C12" s="1008" t="s">
        <v>314</v>
      </c>
      <c r="D12" s="1009"/>
      <c r="E12" s="1011" t="s">
        <v>312</v>
      </c>
      <c r="F12" s="1010"/>
      <c r="G12" s="1024"/>
      <c r="H12" s="1025"/>
      <c r="I12" s="1026"/>
      <c r="J12" s="337"/>
      <c r="K12" s="1016"/>
      <c r="L12" s="715"/>
      <c r="M12" s="1017"/>
      <c r="N12" s="335"/>
      <c r="O12" s="1008" t="s">
        <v>315</v>
      </c>
      <c r="P12" s="662"/>
      <c r="Q12" s="114"/>
      <c r="R12" s="662"/>
      <c r="S12" s="1010"/>
    </row>
    <row r="13" spans="1:19" ht="15.75" thickBot="1" x14ac:dyDescent="0.3">
      <c r="A13" s="329"/>
      <c r="B13" s="319"/>
      <c r="C13" s="205"/>
      <c r="D13" s="338"/>
      <c r="E13" s="1012"/>
      <c r="F13" s="1030"/>
      <c r="G13" s="258"/>
      <c r="H13" s="1022"/>
      <c r="I13" s="1022"/>
      <c r="J13" s="1023"/>
      <c r="K13" s="1018"/>
      <c r="L13" s="1019"/>
      <c r="M13" s="1020"/>
      <c r="N13" s="258"/>
      <c r="O13" s="1022"/>
      <c r="P13" s="1022"/>
      <c r="Q13" s="258"/>
      <c r="R13" s="1022"/>
      <c r="S13" s="1029"/>
    </row>
    <row r="14" spans="1:19" ht="15.75" thickBot="1" x14ac:dyDescent="0.3">
      <c r="A14" s="912"/>
      <c r="B14" s="715"/>
      <c r="C14" s="715"/>
      <c r="D14" s="1019"/>
      <c r="E14" s="1019"/>
      <c r="F14" s="715"/>
      <c r="G14" s="715"/>
      <c r="H14" s="715"/>
      <c r="I14" s="1019"/>
      <c r="J14" s="1019"/>
      <c r="K14" s="1019"/>
      <c r="L14" s="1019"/>
      <c r="M14" s="715"/>
      <c r="N14" s="715"/>
      <c r="O14" s="715"/>
      <c r="P14" s="715"/>
      <c r="Q14" s="715"/>
      <c r="R14" s="715"/>
      <c r="S14" s="339"/>
    </row>
    <row r="15" spans="1:19" ht="24" customHeight="1" thickBot="1" x14ac:dyDescent="0.3">
      <c r="A15" s="1031" t="s">
        <v>316</v>
      </c>
      <c r="B15" s="615"/>
      <c r="C15" s="1032"/>
      <c r="D15" s="993"/>
      <c r="E15" s="995"/>
      <c r="F15" s="1031" t="s">
        <v>317</v>
      </c>
      <c r="G15" s="615"/>
      <c r="H15" s="1032"/>
      <c r="I15" s="993"/>
      <c r="J15" s="994"/>
      <c r="K15" s="994"/>
      <c r="L15" s="995"/>
      <c r="M15" s="1031" t="s">
        <v>318</v>
      </c>
      <c r="N15" s="615"/>
      <c r="O15" s="615"/>
      <c r="P15" s="615"/>
      <c r="Q15" s="615"/>
      <c r="R15" s="1032"/>
      <c r="S15" s="339"/>
    </row>
    <row r="16" spans="1:19" ht="14.25" customHeight="1" thickBot="1" x14ac:dyDescent="0.3">
      <c r="A16" s="1027" t="s">
        <v>319</v>
      </c>
      <c r="B16" s="914"/>
      <c r="C16" s="914"/>
      <c r="D16" s="914"/>
      <c r="E16" s="914"/>
      <c r="F16" s="914"/>
      <c r="G16" s="914"/>
      <c r="H16" s="914"/>
      <c r="I16" s="914"/>
      <c r="J16" s="914"/>
      <c r="K16" s="914"/>
      <c r="L16" s="914"/>
      <c r="M16" s="914"/>
      <c r="N16" s="914"/>
      <c r="O16" s="914"/>
      <c r="P16" s="914"/>
      <c r="Q16" s="914"/>
      <c r="R16" s="914"/>
      <c r="S16" s="1028"/>
    </row>
    <row r="17" spans="1:19" ht="30" customHeight="1" thickBot="1" x14ac:dyDescent="0.3">
      <c r="A17" s="1031" t="s">
        <v>320</v>
      </c>
      <c r="B17" s="615"/>
      <c r="C17" s="1032"/>
      <c r="D17" s="993"/>
      <c r="E17" s="994"/>
      <c r="F17" s="994"/>
      <c r="G17" s="994"/>
      <c r="H17" s="994"/>
      <c r="I17" s="994"/>
      <c r="J17" s="994"/>
      <c r="K17" s="995"/>
      <c r="L17" s="1031" t="s">
        <v>321</v>
      </c>
      <c r="M17" s="615"/>
      <c r="N17" s="615"/>
      <c r="O17" s="1032"/>
      <c r="P17" s="340"/>
      <c r="Q17" s="1008" t="s">
        <v>322</v>
      </c>
      <c r="R17" s="662"/>
      <c r="S17" s="1010"/>
    </row>
    <row r="18" spans="1:19" ht="36.75" customHeight="1" thickBot="1" x14ac:dyDescent="0.3">
      <c r="A18" s="1031" t="s">
        <v>323</v>
      </c>
      <c r="B18" s="615"/>
      <c r="C18" s="1032"/>
      <c r="D18" s="993"/>
      <c r="E18" s="994"/>
      <c r="F18" s="994"/>
      <c r="G18" s="994"/>
      <c r="H18" s="994"/>
      <c r="I18" s="994"/>
      <c r="J18" s="994"/>
      <c r="K18" s="995"/>
      <c r="L18" s="912"/>
      <c r="M18" s="715"/>
      <c r="N18" s="715"/>
      <c r="O18" s="1017"/>
      <c r="P18" s="339"/>
      <c r="Q18" s="1033" t="s">
        <v>324</v>
      </c>
      <c r="R18" s="1002"/>
      <c r="S18" s="1034"/>
    </row>
    <row r="19" spans="1:19" ht="15.75" thickBot="1" x14ac:dyDescent="0.3">
      <c r="A19" s="1035"/>
      <c r="B19" s="1019"/>
      <c r="C19" s="1019"/>
      <c r="D19" s="1019"/>
      <c r="E19" s="1019"/>
      <c r="F19" s="1019"/>
      <c r="G19" s="1019"/>
      <c r="H19" s="1019"/>
      <c r="I19" s="1019"/>
      <c r="J19" s="1019"/>
      <c r="K19" s="1019"/>
      <c r="L19" s="1019"/>
      <c r="M19" s="1019"/>
      <c r="N19" s="1019"/>
      <c r="O19" s="1019"/>
      <c r="P19" s="1019"/>
      <c r="Q19" s="1019"/>
      <c r="R19" s="1019"/>
      <c r="S19" s="1020"/>
    </row>
    <row r="20" spans="1:19" ht="15" customHeight="1" x14ac:dyDescent="0.25">
      <c r="A20" s="68"/>
      <c r="B20" s="68"/>
      <c r="C20" s="68"/>
      <c r="D20" s="68"/>
      <c r="E20" s="68"/>
      <c r="F20" s="68"/>
      <c r="G20" s="68"/>
      <c r="H20" s="68"/>
      <c r="I20" s="68"/>
      <c r="J20" s="68"/>
      <c r="K20" s="68"/>
      <c r="L20" s="68"/>
      <c r="M20" s="68"/>
      <c r="N20" s="68"/>
      <c r="O20" s="68"/>
      <c r="P20" s="68"/>
      <c r="Q20" s="68"/>
      <c r="R20" s="68"/>
      <c r="S20" s="68"/>
    </row>
    <row r="21" spans="1:19" ht="15.75" thickBot="1" x14ac:dyDescent="0.3">
      <c r="A21" s="136" t="s">
        <v>325</v>
      </c>
    </row>
    <row r="22" spans="1:19" ht="15.75" thickBot="1" x14ac:dyDescent="0.3">
      <c r="A22" s="1036"/>
      <c r="B22" s="1037"/>
      <c r="C22" s="1037"/>
      <c r="D22" s="1037"/>
      <c r="E22" s="1037"/>
      <c r="F22" s="1037"/>
      <c r="G22" s="1038"/>
    </row>
    <row r="23" spans="1:19" ht="15.75" thickBot="1" x14ac:dyDescent="0.3">
      <c r="A23" s="1039" t="s">
        <v>326</v>
      </c>
      <c r="B23" s="340"/>
      <c r="C23" s="1008" t="s">
        <v>322</v>
      </c>
      <c r="D23" s="662"/>
      <c r="E23" s="662"/>
      <c r="F23" s="662"/>
      <c r="G23" s="1010"/>
    </row>
    <row r="24" spans="1:19" ht="15.75" thickBot="1" x14ac:dyDescent="0.3">
      <c r="A24" s="1039"/>
      <c r="B24" s="339"/>
      <c r="C24" s="1008" t="s">
        <v>324</v>
      </c>
      <c r="D24" s="662"/>
      <c r="E24" s="662"/>
      <c r="F24" s="662"/>
      <c r="G24" s="1010"/>
    </row>
    <row r="25" spans="1:19" ht="15.75" thickBot="1" x14ac:dyDescent="0.3">
      <c r="A25" s="1040"/>
      <c r="B25" s="1041"/>
      <c r="C25" s="1041"/>
      <c r="D25" s="1041"/>
      <c r="E25" s="1041"/>
      <c r="F25" s="1041"/>
      <c r="G25" s="1042"/>
    </row>
    <row r="26" spans="1:19" ht="60.75" thickBot="1" x14ac:dyDescent="0.3">
      <c r="A26" s="912" t="s">
        <v>327</v>
      </c>
      <c r="B26" s="715"/>
      <c r="C26" s="1017"/>
      <c r="D26" s="993"/>
      <c r="E26" s="995"/>
      <c r="F26" s="341" t="s">
        <v>328</v>
      </c>
      <c r="G26" s="340"/>
    </row>
    <row r="27" spans="1:19" ht="15.75" thickBot="1" x14ac:dyDescent="0.3">
      <c r="A27" s="1040"/>
      <c r="B27" s="1041"/>
      <c r="C27" s="1041"/>
      <c r="D27" s="1041"/>
      <c r="E27" s="1041"/>
      <c r="F27" s="1041"/>
      <c r="G27" s="1042"/>
    </row>
    <row r="28" spans="1:19" ht="45.75" customHeight="1" thickBot="1" x14ac:dyDescent="0.3">
      <c r="A28" s="912" t="s">
        <v>472</v>
      </c>
      <c r="B28" s="715"/>
      <c r="C28" s="715"/>
      <c r="D28" s="1017"/>
      <c r="E28" s="993"/>
      <c r="F28" s="994"/>
      <c r="G28" s="995"/>
    </row>
    <row r="29" spans="1:19" ht="15.75" thickBot="1" x14ac:dyDescent="0.3">
      <c r="A29" s="1043"/>
      <c r="B29" s="1044"/>
      <c r="C29" s="1044"/>
      <c r="D29" s="1044"/>
      <c r="E29" s="1044"/>
      <c r="F29" s="1044"/>
      <c r="G29" s="1045"/>
    </row>
    <row r="30" spans="1:19" x14ac:dyDescent="0.25">
      <c r="A30" s="68"/>
      <c r="B30" s="68"/>
      <c r="C30" s="68"/>
      <c r="D30" s="68"/>
      <c r="E30" s="68"/>
      <c r="F30" s="68"/>
      <c r="G30" s="68"/>
    </row>
    <row r="31" spans="1:19" ht="15.75" thickBot="1" x14ac:dyDescent="0.3">
      <c r="A31" s="136" t="s">
        <v>329</v>
      </c>
    </row>
    <row r="32" spans="1:19" ht="15.75" thickBot="1" x14ac:dyDescent="0.3">
      <c r="A32" s="610"/>
      <c r="B32" s="611"/>
      <c r="C32" s="611"/>
      <c r="D32" s="611"/>
      <c r="E32" s="611"/>
      <c r="F32" s="611"/>
      <c r="G32" s="612"/>
    </row>
  </sheetData>
  <mergeCells count="66">
    <mergeCell ref="R1:S1"/>
    <mergeCell ref="A32:G32"/>
    <mergeCell ref="A26:C26"/>
    <mergeCell ref="D26:E26"/>
    <mergeCell ref="A27:G27"/>
    <mergeCell ref="A28:D28"/>
    <mergeCell ref="E28:G28"/>
    <mergeCell ref="A29:G29"/>
    <mergeCell ref="M15:R15"/>
    <mergeCell ref="A25:G25"/>
    <mergeCell ref="A17:C17"/>
    <mergeCell ref="D17:K17"/>
    <mergeCell ref="L17:O17"/>
    <mergeCell ref="Q17:S17"/>
    <mergeCell ref="A18:C18"/>
    <mergeCell ref="D18:K18"/>
    <mergeCell ref="L18:O18"/>
    <mergeCell ref="Q18:S18"/>
    <mergeCell ref="A19:S19"/>
    <mergeCell ref="A22:G22"/>
    <mergeCell ref="A23:A24"/>
    <mergeCell ref="C23:G23"/>
    <mergeCell ref="C24:G24"/>
    <mergeCell ref="O12:P12"/>
    <mergeCell ref="R12:S12"/>
    <mergeCell ref="A16:S16"/>
    <mergeCell ref="R13:S13"/>
    <mergeCell ref="A14:C14"/>
    <mergeCell ref="D14:E14"/>
    <mergeCell ref="F14:H14"/>
    <mergeCell ref="I14:L14"/>
    <mergeCell ref="M14:R14"/>
    <mergeCell ref="E13:F13"/>
    <mergeCell ref="H13:J13"/>
    <mergeCell ref="O13:P13"/>
    <mergeCell ref="A15:C15"/>
    <mergeCell ref="D15:E15"/>
    <mergeCell ref="F15:H15"/>
    <mergeCell ref="I15:L15"/>
    <mergeCell ref="O10:P10"/>
    <mergeCell ref="R10:S10"/>
    <mergeCell ref="C11:D11"/>
    <mergeCell ref="E11:F11"/>
    <mergeCell ref="H11:J11"/>
    <mergeCell ref="O11:P11"/>
    <mergeCell ref="R11:S11"/>
    <mergeCell ref="E12:F12"/>
    <mergeCell ref="C12:D12"/>
    <mergeCell ref="E10:F10"/>
    <mergeCell ref="H8:J8"/>
    <mergeCell ref="K8:M13"/>
    <mergeCell ref="C10:D10"/>
    <mergeCell ref="H10:J10"/>
    <mergeCell ref="G12:I12"/>
    <mergeCell ref="O8:P8"/>
    <mergeCell ref="R8:S8"/>
    <mergeCell ref="C9:D9"/>
    <mergeCell ref="H9:J9"/>
    <mergeCell ref="O9:P9"/>
    <mergeCell ref="R9:S9"/>
    <mergeCell ref="E9:F9"/>
    <mergeCell ref="A3:A4"/>
    <mergeCell ref="B3:B4"/>
    <mergeCell ref="D3:D4"/>
    <mergeCell ref="C8:D8"/>
    <mergeCell ref="E8:F8"/>
  </mergeCells>
  <hyperlinks>
    <hyperlink ref="R1:S1" location="Índice!A1" display="Voltar ao índice" xr:uid="{00000000-0004-0000-1400-000000000000}"/>
  </hyperlinks>
  <pageMargins left="0.7" right="0.7" top="1.3333333333333333" bottom="0.75" header="0.3" footer="0.3"/>
  <pageSetup paperSize="9" scale="57" fitToHeight="0" orientation="landscape" r:id="rId1"/>
  <headerFooter>
    <oddHeader>&amp;L&amp;G&amp;C
&amp;"-,Negrito"&amp;24Caderno de Campo</oddHeader>
    <oddFooter>&amp;C&amp;G</oddFooter>
  </headerFooter>
  <legacyDrawing r:id="rId2"/>
  <legacyDrawingHF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tint="-0.249977111117893"/>
    <pageSetUpPr fitToPage="1"/>
  </sheetPr>
  <dimension ref="B4:F42"/>
  <sheetViews>
    <sheetView showGridLines="0" showRuler="0" zoomScale="80" zoomScaleNormal="80" workbookViewId="0">
      <selection activeCell="C6" sqref="C6:C7"/>
    </sheetView>
  </sheetViews>
  <sheetFormatPr defaultRowHeight="15" x14ac:dyDescent="0.25"/>
  <cols>
    <col min="3" max="3" width="40.5703125" customWidth="1"/>
    <col min="4" max="4" width="19.42578125" customWidth="1"/>
    <col min="5" max="5" width="18.5703125" customWidth="1"/>
    <col min="6" max="6" width="25.5703125" customWidth="1"/>
  </cols>
  <sheetData>
    <row r="4" spans="2:6" ht="17.25" x14ac:dyDescent="0.3">
      <c r="B4" s="33" t="s">
        <v>262</v>
      </c>
      <c r="C4" s="48"/>
      <c r="F4" s="315" t="s">
        <v>375</v>
      </c>
    </row>
    <row r="5" spans="2:6" ht="15.75" thickBot="1" x14ac:dyDescent="0.3"/>
    <row r="6" spans="2:6" ht="57" customHeight="1" x14ac:dyDescent="0.25">
      <c r="B6" s="444" t="s">
        <v>330</v>
      </c>
      <c r="C6" s="750" t="s">
        <v>342</v>
      </c>
      <c r="D6" s="686" t="s">
        <v>332</v>
      </c>
      <c r="E6" s="679"/>
      <c r="F6" s="688" t="s">
        <v>333</v>
      </c>
    </row>
    <row r="7" spans="2:6" ht="15.75" thickBot="1" x14ac:dyDescent="0.3">
      <c r="B7" s="445" t="s">
        <v>331</v>
      </c>
      <c r="C7" s="903"/>
      <c r="D7" s="701"/>
      <c r="E7" s="680"/>
      <c r="F7" s="689"/>
    </row>
    <row r="8" spans="2:6" ht="30" x14ac:dyDescent="0.25">
      <c r="B8" s="1046">
        <v>1</v>
      </c>
      <c r="C8" s="1050"/>
      <c r="D8" s="68" t="s">
        <v>334</v>
      </c>
      <c r="E8" s="342" t="s">
        <v>337</v>
      </c>
      <c r="F8" s="199"/>
    </row>
    <row r="9" spans="2:6" ht="30" x14ac:dyDescent="0.25">
      <c r="B9" s="1047"/>
      <c r="C9" s="1050"/>
      <c r="D9" s="68" t="s">
        <v>335</v>
      </c>
      <c r="E9" s="342" t="s">
        <v>338</v>
      </c>
      <c r="F9" s="199"/>
    </row>
    <row r="10" spans="2:6" ht="30" x14ac:dyDescent="0.25">
      <c r="B10" s="1047"/>
      <c r="C10" s="1050"/>
      <c r="D10" s="68" t="s">
        <v>336</v>
      </c>
      <c r="E10" s="342" t="s">
        <v>339</v>
      </c>
      <c r="F10" s="199"/>
    </row>
    <row r="11" spans="2:6" x14ac:dyDescent="0.25">
      <c r="B11" s="1047"/>
      <c r="C11" s="1050"/>
      <c r="D11" s="68"/>
      <c r="E11" s="342"/>
      <c r="F11" s="199"/>
    </row>
    <row r="12" spans="2:6" ht="15.75" thickBot="1" x14ac:dyDescent="0.3">
      <c r="B12" s="1048"/>
      <c r="C12" s="1051"/>
      <c r="D12" s="205"/>
      <c r="E12" s="200"/>
      <c r="F12" s="71" t="s">
        <v>340</v>
      </c>
    </row>
    <row r="13" spans="2:6" ht="30" x14ac:dyDescent="0.25">
      <c r="B13" s="1046">
        <v>2</v>
      </c>
      <c r="C13" s="1049"/>
      <c r="D13" s="68" t="s">
        <v>334</v>
      </c>
      <c r="E13" s="342" t="s">
        <v>337</v>
      </c>
      <c r="F13" s="199"/>
    </row>
    <row r="14" spans="2:6" ht="30" x14ac:dyDescent="0.25">
      <c r="B14" s="1047"/>
      <c r="C14" s="1050"/>
      <c r="D14" s="68" t="s">
        <v>335</v>
      </c>
      <c r="E14" s="342" t="s">
        <v>338</v>
      </c>
      <c r="F14" s="199"/>
    </row>
    <row r="15" spans="2:6" ht="30" x14ac:dyDescent="0.25">
      <c r="B15" s="1047"/>
      <c r="C15" s="1050"/>
      <c r="D15" s="68" t="s">
        <v>336</v>
      </c>
      <c r="E15" s="342" t="s">
        <v>339</v>
      </c>
      <c r="F15" s="199"/>
    </row>
    <row r="16" spans="2:6" x14ac:dyDescent="0.25">
      <c r="B16" s="1047"/>
      <c r="C16" s="1050"/>
      <c r="D16" s="68"/>
      <c r="E16" s="342"/>
      <c r="F16" s="199"/>
    </row>
    <row r="17" spans="2:6" ht="15.75" thickBot="1" x14ac:dyDescent="0.3">
      <c r="B17" s="1048"/>
      <c r="C17" s="1051"/>
      <c r="D17" s="205"/>
      <c r="E17" s="200"/>
      <c r="F17" s="71" t="s">
        <v>340</v>
      </c>
    </row>
    <row r="18" spans="2:6" ht="30" x14ac:dyDescent="0.25">
      <c r="B18" s="1046">
        <v>3</v>
      </c>
      <c r="C18" s="1049"/>
      <c r="D18" s="68" t="s">
        <v>334</v>
      </c>
      <c r="E18" s="342" t="s">
        <v>337</v>
      </c>
      <c r="F18" s="199"/>
    </row>
    <row r="19" spans="2:6" ht="30" x14ac:dyDescent="0.25">
      <c r="B19" s="1047"/>
      <c r="C19" s="1050"/>
      <c r="D19" s="68" t="s">
        <v>335</v>
      </c>
      <c r="E19" s="342" t="s">
        <v>338</v>
      </c>
      <c r="F19" s="199"/>
    </row>
    <row r="20" spans="2:6" ht="30" x14ac:dyDescent="0.25">
      <c r="B20" s="1047"/>
      <c r="C20" s="1050"/>
      <c r="D20" s="68" t="s">
        <v>336</v>
      </c>
      <c r="E20" s="342" t="s">
        <v>339</v>
      </c>
      <c r="F20" s="199"/>
    </row>
    <row r="21" spans="2:6" x14ac:dyDescent="0.25">
      <c r="B21" s="1047"/>
      <c r="C21" s="1050"/>
      <c r="D21" s="68"/>
      <c r="E21" s="342"/>
      <c r="F21" s="199"/>
    </row>
    <row r="22" spans="2:6" ht="15.75" thickBot="1" x14ac:dyDescent="0.3">
      <c r="B22" s="1048"/>
      <c r="C22" s="1051"/>
      <c r="D22" s="205"/>
      <c r="E22" s="200"/>
      <c r="F22" s="71" t="s">
        <v>340</v>
      </c>
    </row>
    <row r="23" spans="2:6" ht="30" x14ac:dyDescent="0.25">
      <c r="B23" s="1046">
        <v>4</v>
      </c>
      <c r="C23" s="1049"/>
      <c r="D23" s="68" t="s">
        <v>334</v>
      </c>
      <c r="E23" s="342" t="s">
        <v>337</v>
      </c>
      <c r="F23" s="199"/>
    </row>
    <row r="24" spans="2:6" ht="30" x14ac:dyDescent="0.25">
      <c r="B24" s="1047"/>
      <c r="C24" s="1050"/>
      <c r="D24" s="68" t="s">
        <v>335</v>
      </c>
      <c r="E24" s="342" t="s">
        <v>338</v>
      </c>
      <c r="F24" s="199"/>
    </row>
    <row r="25" spans="2:6" ht="30" x14ac:dyDescent="0.25">
      <c r="B25" s="1047"/>
      <c r="C25" s="1050"/>
      <c r="D25" s="68" t="s">
        <v>336</v>
      </c>
      <c r="E25" s="342" t="s">
        <v>339</v>
      </c>
      <c r="F25" s="199"/>
    </row>
    <row r="26" spans="2:6" x14ac:dyDescent="0.25">
      <c r="B26" s="1047"/>
      <c r="C26" s="1050"/>
      <c r="D26" s="68"/>
      <c r="E26" s="342"/>
      <c r="F26" s="199"/>
    </row>
    <row r="27" spans="2:6" ht="15.75" thickBot="1" x14ac:dyDescent="0.3">
      <c r="B27" s="1048"/>
      <c r="C27" s="1051"/>
      <c r="D27" s="205"/>
      <c r="E27" s="200"/>
      <c r="F27" s="71" t="s">
        <v>340</v>
      </c>
    </row>
    <row r="28" spans="2:6" ht="30" x14ac:dyDescent="0.25">
      <c r="B28" s="1046">
        <v>5</v>
      </c>
      <c r="C28" s="1049"/>
      <c r="D28" s="68" t="s">
        <v>334</v>
      </c>
      <c r="E28" s="342" t="s">
        <v>337</v>
      </c>
      <c r="F28" s="199"/>
    </row>
    <row r="29" spans="2:6" ht="30" x14ac:dyDescent="0.25">
      <c r="B29" s="1047"/>
      <c r="C29" s="1050"/>
      <c r="D29" s="68" t="s">
        <v>335</v>
      </c>
      <c r="E29" s="342" t="s">
        <v>338</v>
      </c>
      <c r="F29" s="199"/>
    </row>
    <row r="30" spans="2:6" ht="30" x14ac:dyDescent="0.25">
      <c r="B30" s="1047"/>
      <c r="C30" s="1050"/>
      <c r="D30" s="68" t="s">
        <v>336</v>
      </c>
      <c r="E30" s="342" t="s">
        <v>339</v>
      </c>
      <c r="F30" s="199"/>
    </row>
    <row r="31" spans="2:6" x14ac:dyDescent="0.25">
      <c r="B31" s="1047"/>
      <c r="C31" s="1050"/>
      <c r="D31" s="68"/>
      <c r="E31" s="342"/>
      <c r="F31" s="199"/>
    </row>
    <row r="32" spans="2:6" ht="15.75" thickBot="1" x14ac:dyDescent="0.3">
      <c r="B32" s="1048"/>
      <c r="C32" s="1051"/>
      <c r="D32" s="205"/>
      <c r="E32" s="200"/>
      <c r="F32" s="71" t="s">
        <v>340</v>
      </c>
    </row>
    <row r="33" spans="2:6" ht="30" x14ac:dyDescent="0.25">
      <c r="B33" s="1046" t="s">
        <v>341</v>
      </c>
      <c r="C33" s="1049"/>
      <c r="D33" s="68" t="s">
        <v>334</v>
      </c>
      <c r="E33" s="342" t="s">
        <v>337</v>
      </c>
      <c r="F33" s="199"/>
    </row>
    <row r="34" spans="2:6" ht="30" x14ac:dyDescent="0.25">
      <c r="B34" s="1047"/>
      <c r="C34" s="1050"/>
      <c r="D34" s="68" t="s">
        <v>335</v>
      </c>
      <c r="E34" s="342" t="s">
        <v>338</v>
      </c>
      <c r="F34" s="199"/>
    </row>
    <row r="35" spans="2:6" ht="30" x14ac:dyDescent="0.25">
      <c r="B35" s="1047"/>
      <c r="C35" s="1050"/>
      <c r="D35" s="68" t="s">
        <v>336</v>
      </c>
      <c r="E35" s="342" t="s">
        <v>339</v>
      </c>
      <c r="F35" s="199"/>
    </row>
    <row r="36" spans="2:6" x14ac:dyDescent="0.25">
      <c r="B36" s="1047"/>
      <c r="C36" s="1050"/>
      <c r="D36" s="68"/>
      <c r="E36" s="342"/>
      <c r="F36" s="199"/>
    </row>
    <row r="37" spans="2:6" ht="15.75" thickBot="1" x14ac:dyDescent="0.3">
      <c r="B37" s="1048"/>
      <c r="C37" s="1051"/>
      <c r="D37" s="205"/>
      <c r="E37" s="200"/>
      <c r="F37" s="71" t="s">
        <v>340</v>
      </c>
    </row>
    <row r="38" spans="2:6" ht="30" x14ac:dyDescent="0.25">
      <c r="B38" s="1046"/>
      <c r="C38" s="1049"/>
      <c r="D38" s="68" t="s">
        <v>334</v>
      </c>
      <c r="E38" s="342" t="s">
        <v>337</v>
      </c>
      <c r="F38" s="199"/>
    </row>
    <row r="39" spans="2:6" ht="30" x14ac:dyDescent="0.25">
      <c r="B39" s="1047"/>
      <c r="C39" s="1050"/>
      <c r="D39" s="68" t="s">
        <v>335</v>
      </c>
      <c r="E39" s="342" t="s">
        <v>338</v>
      </c>
      <c r="F39" s="199"/>
    </row>
    <row r="40" spans="2:6" ht="30" x14ac:dyDescent="0.25">
      <c r="B40" s="1047"/>
      <c r="C40" s="1050"/>
      <c r="D40" s="68" t="s">
        <v>336</v>
      </c>
      <c r="E40" s="342" t="s">
        <v>339</v>
      </c>
      <c r="F40" s="199"/>
    </row>
    <row r="41" spans="2:6" x14ac:dyDescent="0.25">
      <c r="B41" s="1047"/>
      <c r="C41" s="1050"/>
      <c r="D41" s="68"/>
      <c r="E41" s="342"/>
      <c r="F41" s="199"/>
    </row>
    <row r="42" spans="2:6" ht="15.75" thickBot="1" x14ac:dyDescent="0.3">
      <c r="B42" s="1048"/>
      <c r="C42" s="1051"/>
      <c r="D42" s="205"/>
      <c r="E42" s="200"/>
      <c r="F42" s="71" t="s">
        <v>340</v>
      </c>
    </row>
  </sheetData>
  <mergeCells count="17">
    <mergeCell ref="B33:B37"/>
    <mergeCell ref="C33:C37"/>
    <mergeCell ref="B38:B42"/>
    <mergeCell ref="C38:C42"/>
    <mergeCell ref="B18:B22"/>
    <mergeCell ref="C18:C22"/>
    <mergeCell ref="B23:B27"/>
    <mergeCell ref="C23:C27"/>
    <mergeCell ref="B28:B32"/>
    <mergeCell ref="C28:C32"/>
    <mergeCell ref="B13:B17"/>
    <mergeCell ref="C13:C17"/>
    <mergeCell ref="C6:C7"/>
    <mergeCell ref="D6:E7"/>
    <mergeCell ref="F6:F7"/>
    <mergeCell ref="B8:B12"/>
    <mergeCell ref="C8:C12"/>
  </mergeCells>
  <hyperlinks>
    <hyperlink ref="F4" location="Índice!A1" display="Voltar ao índice" xr:uid="{00000000-0004-0000-1500-000000000000}"/>
  </hyperlinks>
  <pageMargins left="0.7" right="0.7" top="1.3229166666666667" bottom="0.75" header="0.3" footer="0.3"/>
  <pageSetup paperSize="8" fitToHeight="0" orientation="portrait" r:id="rId1"/>
  <headerFooter>
    <oddHeader>&amp;L&amp;G&amp;C
&amp;"-,Negrito"&amp;24Caderno de Campo</oddHeader>
    <oddFooter>&amp;C&amp;G</oddFooter>
  </headerFooter>
  <legacyDrawing r:id="rId2"/>
  <legacyDrawingHF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249977111117893"/>
    <pageSetUpPr fitToPage="1"/>
  </sheetPr>
  <dimension ref="A2:L51"/>
  <sheetViews>
    <sheetView showGridLines="0" tabSelected="1" view="pageLayout" zoomScale="80" zoomScaleNormal="100" zoomScalePageLayoutView="80" workbookViewId="0">
      <selection activeCell="K4" sqref="K4"/>
    </sheetView>
  </sheetViews>
  <sheetFormatPr defaultRowHeight="15" x14ac:dyDescent="0.25"/>
  <sheetData>
    <row r="2" spans="1:12" ht="17.25" x14ac:dyDescent="0.3">
      <c r="A2" s="1052" t="s">
        <v>469</v>
      </c>
      <c r="B2" s="1052"/>
      <c r="C2" s="1052"/>
      <c r="D2" s="1052"/>
      <c r="E2" s="1052"/>
      <c r="F2" s="1052"/>
      <c r="G2" s="1052"/>
      <c r="H2" s="661"/>
      <c r="I2" s="661"/>
      <c r="J2" s="661"/>
      <c r="K2" s="661"/>
      <c r="L2" s="661"/>
    </row>
    <row r="3" spans="1:12" x14ac:dyDescent="0.25">
      <c r="A3" s="1"/>
    </row>
    <row r="4" spans="1:12" x14ac:dyDescent="0.25">
      <c r="K4" s="360" t="s">
        <v>375</v>
      </c>
      <c r="L4" s="360"/>
    </row>
    <row r="5" spans="1:12" x14ac:dyDescent="0.25">
      <c r="A5" s="1"/>
    </row>
    <row r="6" spans="1:12" x14ac:dyDescent="0.25">
      <c r="A6" s="634" t="s">
        <v>1</v>
      </c>
      <c r="B6" s="634"/>
      <c r="C6" s="627"/>
      <c r="D6" s="627"/>
      <c r="E6" s="627"/>
      <c r="F6" s="627"/>
      <c r="G6" s="627"/>
      <c r="H6" s="627"/>
      <c r="I6" s="627"/>
      <c r="J6" s="627"/>
      <c r="K6" s="627"/>
      <c r="L6" s="627"/>
    </row>
    <row r="7" spans="1:12" x14ac:dyDescent="0.25">
      <c r="A7" s="635" t="s">
        <v>2</v>
      </c>
      <c r="B7" s="635"/>
      <c r="C7" s="635"/>
      <c r="D7" s="635"/>
      <c r="E7" s="635"/>
      <c r="F7" s="635"/>
      <c r="G7" s="635"/>
      <c r="H7" s="635"/>
      <c r="I7" s="635"/>
      <c r="J7" s="635"/>
      <c r="K7" s="635"/>
      <c r="L7" s="635"/>
    </row>
    <row r="8" spans="1:12" x14ac:dyDescent="0.25">
      <c r="A8" s="632" t="s">
        <v>3</v>
      </c>
      <c r="B8" s="632"/>
      <c r="C8" s="632"/>
      <c r="D8" s="632"/>
      <c r="E8" s="632"/>
      <c r="F8" s="632"/>
      <c r="G8" s="632"/>
      <c r="H8" s="632"/>
      <c r="I8" s="632"/>
      <c r="J8" s="632"/>
      <c r="K8" s="632"/>
      <c r="L8" s="632"/>
    </row>
    <row r="9" spans="1:12" x14ac:dyDescent="0.25">
      <c r="A9" s="624" t="s">
        <v>4</v>
      </c>
      <c r="B9" s="624"/>
      <c r="C9" s="624"/>
      <c r="D9" s="624"/>
      <c r="E9" s="624"/>
      <c r="F9" s="624"/>
      <c r="G9" s="624"/>
      <c r="H9" s="624"/>
      <c r="I9" s="624"/>
      <c r="J9" s="624"/>
      <c r="K9" s="624"/>
      <c r="L9" s="624"/>
    </row>
    <row r="10" spans="1:12" x14ac:dyDescent="0.25">
      <c r="A10" s="632" t="s">
        <v>5</v>
      </c>
      <c r="B10" s="632"/>
      <c r="C10" s="632"/>
      <c r="D10" s="632"/>
      <c r="E10" s="632"/>
      <c r="F10" s="632"/>
      <c r="G10" s="632"/>
      <c r="H10" s="632"/>
      <c r="I10" s="632"/>
      <c r="J10" s="632"/>
      <c r="K10" s="632"/>
      <c r="L10" s="632"/>
    </row>
    <row r="11" spans="1:12" x14ac:dyDescent="0.25">
      <c r="A11" s="624" t="s">
        <v>6</v>
      </c>
      <c r="B11" s="624"/>
      <c r="C11" s="624"/>
      <c r="D11" s="624"/>
      <c r="E11" s="624"/>
      <c r="F11" s="624"/>
      <c r="G11" s="624"/>
      <c r="H11" s="624"/>
      <c r="I11" s="624"/>
      <c r="J11" s="624"/>
      <c r="K11" s="624"/>
      <c r="L11" s="624"/>
    </row>
    <row r="12" spans="1:12" x14ac:dyDescent="0.25">
      <c r="A12" s="624" t="s">
        <v>7</v>
      </c>
      <c r="B12" s="624"/>
      <c r="C12" s="624"/>
      <c r="D12" s="624"/>
      <c r="E12" s="624"/>
      <c r="F12" s="624"/>
      <c r="G12" s="624"/>
      <c r="H12" s="624"/>
      <c r="I12" s="624"/>
      <c r="J12" s="624"/>
      <c r="K12" s="624"/>
      <c r="L12" s="624"/>
    </row>
    <row r="13" spans="1:12" x14ac:dyDescent="0.25">
      <c r="A13" s="633" t="s">
        <v>12</v>
      </c>
      <c r="B13" s="633"/>
      <c r="C13" s="633"/>
      <c r="D13" s="633"/>
      <c r="E13" s="633"/>
      <c r="F13" s="633"/>
      <c r="G13" s="633"/>
      <c r="H13" s="633"/>
      <c r="I13" s="633"/>
      <c r="J13" s="633"/>
      <c r="K13" s="633"/>
      <c r="L13" s="633"/>
    </row>
    <row r="14" spans="1:12" x14ac:dyDescent="0.25">
      <c r="A14" s="627" t="s">
        <v>13</v>
      </c>
      <c r="B14" s="627"/>
      <c r="C14" s="627"/>
      <c r="D14" s="627"/>
      <c r="E14" s="246"/>
      <c r="F14" s="246"/>
      <c r="G14" s="246"/>
      <c r="H14" s="246"/>
      <c r="I14" s="246"/>
      <c r="J14" s="246"/>
      <c r="K14" s="246"/>
      <c r="L14" s="246"/>
    </row>
    <row r="15" spans="1:12" x14ac:dyDescent="0.25">
      <c r="A15" s="247" t="s">
        <v>14</v>
      </c>
      <c r="B15" s="628"/>
      <c r="C15" s="628"/>
      <c r="D15" s="628"/>
      <c r="E15" s="628"/>
      <c r="F15" s="628"/>
      <c r="G15" s="628"/>
      <c r="H15" s="628"/>
      <c r="I15" s="628"/>
      <c r="J15" s="628"/>
      <c r="K15" s="628"/>
      <c r="L15" s="628"/>
    </row>
    <row r="16" spans="1:12" x14ac:dyDescent="0.25">
      <c r="A16" s="630" t="s">
        <v>15</v>
      </c>
      <c r="B16" s="630"/>
      <c r="C16" s="630"/>
      <c r="D16" s="630"/>
      <c r="E16" s="630"/>
      <c r="F16" s="630"/>
      <c r="G16" s="630"/>
      <c r="H16" s="630"/>
      <c r="I16" s="630"/>
      <c r="J16" s="630"/>
      <c r="K16" s="630"/>
      <c r="L16" s="630"/>
    </row>
    <row r="17" spans="1:12" x14ac:dyDescent="0.25">
      <c r="A17" s="630" t="s">
        <v>5</v>
      </c>
      <c r="B17" s="630"/>
      <c r="C17" s="630"/>
      <c r="D17" s="630"/>
      <c r="E17" s="630"/>
      <c r="F17" s="630"/>
      <c r="G17" s="630"/>
      <c r="H17" s="630"/>
      <c r="I17" s="630"/>
      <c r="J17" s="630"/>
      <c r="K17" s="630"/>
      <c r="L17" s="630"/>
    </row>
    <row r="18" spans="1:12" x14ac:dyDescent="0.25">
      <c r="A18" s="630" t="s">
        <v>17</v>
      </c>
      <c r="B18" s="630"/>
      <c r="C18" s="630"/>
      <c r="D18" s="630"/>
      <c r="E18" s="630"/>
      <c r="F18" s="630"/>
      <c r="G18" s="630"/>
      <c r="H18" s="630"/>
      <c r="I18" s="630"/>
      <c r="J18" s="630"/>
      <c r="K18" s="630"/>
      <c r="L18" s="630"/>
    </row>
    <row r="19" spans="1:12" x14ac:dyDescent="0.25">
      <c r="A19" s="631" t="s">
        <v>18</v>
      </c>
      <c r="B19" s="631"/>
      <c r="C19" s="631"/>
      <c r="D19" s="627"/>
      <c r="E19" s="627"/>
      <c r="F19" s="627"/>
      <c r="G19" s="627"/>
      <c r="H19" s="627"/>
      <c r="I19" s="627"/>
      <c r="J19" s="627"/>
      <c r="K19" s="627"/>
      <c r="L19" s="627"/>
    </row>
    <row r="20" spans="1:12" x14ac:dyDescent="0.25">
      <c r="A20" s="629" t="s">
        <v>19</v>
      </c>
      <c r="B20" s="629"/>
      <c r="C20" s="629"/>
      <c r="D20" s="629"/>
      <c r="E20" s="629"/>
      <c r="F20" s="629"/>
      <c r="G20" s="629"/>
      <c r="H20" s="629"/>
      <c r="I20" s="629"/>
      <c r="J20" s="629"/>
      <c r="K20" s="629"/>
      <c r="L20" s="629"/>
    </row>
    <row r="21" spans="1:12" x14ac:dyDescent="0.25">
      <c r="A21" s="624" t="s">
        <v>20</v>
      </c>
      <c r="B21" s="624"/>
      <c r="C21" s="624"/>
      <c r="D21" s="624"/>
      <c r="E21" s="624"/>
      <c r="F21" s="624"/>
      <c r="G21" s="624"/>
      <c r="H21" s="624"/>
      <c r="I21" s="624"/>
      <c r="J21" s="624"/>
      <c r="K21" s="624"/>
      <c r="L21" s="624"/>
    </row>
    <row r="22" spans="1:12" x14ac:dyDescent="0.25">
      <c r="A22" s="624" t="s">
        <v>21</v>
      </c>
      <c r="B22" s="624"/>
      <c r="C22" s="624"/>
      <c r="D22" s="624"/>
      <c r="E22" s="624"/>
      <c r="F22" s="624"/>
      <c r="G22" s="624"/>
      <c r="H22" s="624"/>
      <c r="I22" s="624"/>
      <c r="J22" s="624"/>
      <c r="K22" s="624"/>
      <c r="L22" s="624"/>
    </row>
    <row r="23" spans="1:12" x14ac:dyDescent="0.25">
      <c r="A23" s="624" t="s">
        <v>22</v>
      </c>
      <c r="B23" s="624"/>
      <c r="C23" s="624"/>
      <c r="D23" s="624"/>
      <c r="E23" s="624"/>
      <c r="F23" s="624"/>
      <c r="G23" s="624"/>
      <c r="H23" s="624"/>
      <c r="I23" s="624"/>
      <c r="J23" s="624"/>
      <c r="K23" s="624"/>
      <c r="L23" s="624"/>
    </row>
    <row r="24" spans="1:12" x14ac:dyDescent="0.25">
      <c r="A24" s="246" t="s">
        <v>459</v>
      </c>
      <c r="B24" s="246"/>
      <c r="C24" s="246"/>
      <c r="D24" s="246"/>
      <c r="E24" s="246"/>
      <c r="F24" s="246"/>
      <c r="G24" s="246"/>
      <c r="H24" s="246"/>
      <c r="I24" s="246"/>
      <c r="J24" s="246"/>
      <c r="K24" s="246"/>
      <c r="L24" s="246"/>
    </row>
    <row r="25" spans="1:12" ht="15.75" thickBot="1" x14ac:dyDescent="0.3">
      <c r="A25" s="22"/>
      <c r="B25" s="22"/>
      <c r="C25" s="22"/>
      <c r="D25" s="22"/>
      <c r="E25" s="22"/>
      <c r="F25" s="22"/>
      <c r="G25" s="22"/>
      <c r="H25" s="22"/>
      <c r="I25" s="22"/>
      <c r="J25" s="22"/>
      <c r="K25" s="22"/>
      <c r="L25" s="22"/>
    </row>
    <row r="26" spans="1:12" ht="15.75" thickBot="1" x14ac:dyDescent="0.3">
      <c r="A26" s="760" t="s">
        <v>458</v>
      </c>
      <c r="B26" s="760"/>
      <c r="C26" s="606"/>
      <c r="D26" s="607"/>
      <c r="E26" s="607"/>
      <c r="F26" s="607"/>
      <c r="G26" s="607"/>
      <c r="H26" s="607"/>
      <c r="I26" s="607"/>
      <c r="J26" s="607"/>
      <c r="K26" s="607"/>
      <c r="L26" s="608"/>
    </row>
    <row r="27" spans="1:12" x14ac:dyDescent="0.25">
      <c r="A27" s="251"/>
      <c r="B27" s="251"/>
      <c r="C27" s="105"/>
      <c r="D27" s="105"/>
      <c r="E27" s="105"/>
      <c r="F27" s="105"/>
      <c r="G27" s="105"/>
      <c r="H27" s="105"/>
      <c r="I27" s="105"/>
      <c r="J27" s="105"/>
      <c r="K27" s="105"/>
      <c r="L27" s="105"/>
    </row>
    <row r="28" spans="1:12" ht="15.75" thickBot="1" x14ac:dyDescent="0.3">
      <c r="A28" s="251" t="s">
        <v>466</v>
      </c>
      <c r="B28" s="251"/>
      <c r="C28" s="105"/>
      <c r="D28" s="105"/>
      <c r="E28" s="105"/>
      <c r="F28" s="105"/>
      <c r="G28" s="105"/>
      <c r="H28" s="105"/>
      <c r="I28" s="105"/>
      <c r="J28" s="105"/>
      <c r="K28" s="105"/>
      <c r="L28" s="105"/>
    </row>
    <row r="29" spans="1:12" ht="15.75" thickBot="1" x14ac:dyDescent="0.3">
      <c r="A29" s="251"/>
      <c r="B29" s="314"/>
      <c r="C29" s="762" t="s">
        <v>467</v>
      </c>
      <c r="D29" s="763"/>
      <c r="E29" s="105"/>
      <c r="F29" s="188"/>
      <c r="G29" s="891" t="s">
        <v>468</v>
      </c>
      <c r="H29" s="760"/>
      <c r="I29" s="760"/>
      <c r="J29" s="105"/>
      <c r="K29" s="105"/>
      <c r="L29" s="105"/>
    </row>
    <row r="30" spans="1:12" ht="15.75" thickBot="1" x14ac:dyDescent="0.3">
      <c r="A30" s="251"/>
      <c r="B30" s="251"/>
      <c r="C30" s="241"/>
      <c r="D30" s="241"/>
      <c r="E30" s="105"/>
      <c r="F30" s="105"/>
      <c r="G30" s="251"/>
      <c r="H30" s="251"/>
      <c r="I30" s="251"/>
      <c r="J30" s="105"/>
      <c r="K30" s="105"/>
      <c r="L30" s="105"/>
    </row>
    <row r="31" spans="1:12" ht="15.75" thickBot="1" x14ac:dyDescent="0.3">
      <c r="A31" s="251"/>
      <c r="B31" s="314"/>
      <c r="C31" s="891" t="s">
        <v>619</v>
      </c>
      <c r="D31" s="760"/>
      <c r="E31" s="760"/>
      <c r="F31" s="760"/>
      <c r="G31" s="188"/>
      <c r="H31" s="762" t="s">
        <v>620</v>
      </c>
      <c r="I31" s="763"/>
      <c r="J31" s="763"/>
      <c r="K31" s="763"/>
    </row>
    <row r="32" spans="1:12" ht="15.75" thickBot="1" x14ac:dyDescent="0.3"/>
    <row r="33" spans="1:12" x14ac:dyDescent="0.25">
      <c r="A33" s="306" t="s">
        <v>460</v>
      </c>
      <c r="B33" s="307" t="s">
        <v>461</v>
      </c>
      <c r="C33" s="307"/>
      <c r="D33" s="307"/>
      <c r="E33" s="307"/>
      <c r="F33" s="307"/>
      <c r="G33" s="307"/>
      <c r="H33" s="307"/>
      <c r="I33" s="307"/>
      <c r="J33" s="307"/>
      <c r="K33" s="307"/>
      <c r="L33" s="308"/>
    </row>
    <row r="34" spans="1:12" x14ac:dyDescent="0.25">
      <c r="A34" s="309" t="s">
        <v>462</v>
      </c>
      <c r="L34" s="310"/>
    </row>
    <row r="35" spans="1:12" x14ac:dyDescent="0.25">
      <c r="A35" s="309" t="s">
        <v>462</v>
      </c>
      <c r="L35" s="310"/>
    </row>
    <row r="36" spans="1:12" x14ac:dyDescent="0.25">
      <c r="A36" s="309" t="s">
        <v>462</v>
      </c>
      <c r="L36" s="310"/>
    </row>
    <row r="37" spans="1:12" x14ac:dyDescent="0.25">
      <c r="A37" s="309" t="s">
        <v>462</v>
      </c>
      <c r="L37" s="310"/>
    </row>
    <row r="38" spans="1:12" x14ac:dyDescent="0.25">
      <c r="A38" s="309" t="s">
        <v>462</v>
      </c>
      <c r="L38" s="310"/>
    </row>
    <row r="39" spans="1:12" x14ac:dyDescent="0.25">
      <c r="A39" s="309" t="s">
        <v>462</v>
      </c>
      <c r="L39" s="310"/>
    </row>
    <row r="40" spans="1:12" x14ac:dyDescent="0.25">
      <c r="A40" s="309" t="s">
        <v>462</v>
      </c>
      <c r="L40" s="310"/>
    </row>
    <row r="41" spans="1:12" x14ac:dyDescent="0.25">
      <c r="A41" s="309" t="s">
        <v>462</v>
      </c>
      <c r="L41" s="310"/>
    </row>
    <row r="42" spans="1:12" x14ac:dyDescent="0.25">
      <c r="A42" s="309" t="s">
        <v>462</v>
      </c>
      <c r="L42" s="310"/>
    </row>
    <row r="43" spans="1:12" x14ac:dyDescent="0.25">
      <c r="A43" s="309" t="s">
        <v>462</v>
      </c>
      <c r="L43" s="310"/>
    </row>
    <row r="44" spans="1:12" ht="15.75" thickBot="1" x14ac:dyDescent="0.3">
      <c r="A44" s="311"/>
      <c r="B44" s="312"/>
      <c r="C44" s="312"/>
      <c r="D44" s="312"/>
      <c r="E44" s="312"/>
      <c r="F44" s="312"/>
      <c r="G44" s="312"/>
      <c r="H44" s="312"/>
      <c r="I44" s="312"/>
      <c r="J44" s="312"/>
      <c r="K44" s="312"/>
      <c r="L44" s="313"/>
    </row>
    <row r="46" spans="1:12" x14ac:dyDescent="0.25">
      <c r="A46" s="251" t="s">
        <v>463</v>
      </c>
    </row>
    <row r="47" spans="1:12" ht="15.75" thickBot="1" x14ac:dyDescent="0.3"/>
    <row r="48" spans="1:12" ht="15.75" thickBot="1" x14ac:dyDescent="0.3">
      <c r="A48" s="251" t="s">
        <v>152</v>
      </c>
      <c r="B48" s="606"/>
      <c r="C48" s="608"/>
      <c r="E48" s="1" t="s">
        <v>591</v>
      </c>
      <c r="F48" s="1"/>
      <c r="G48" s="1"/>
      <c r="H48" s="1"/>
      <c r="I48" s="1"/>
    </row>
    <row r="49" spans="5:9" x14ac:dyDescent="0.25">
      <c r="E49" s="1" t="s">
        <v>592</v>
      </c>
    </row>
    <row r="51" spans="5:9" x14ac:dyDescent="0.25">
      <c r="E51" s="760" t="s">
        <v>464</v>
      </c>
      <c r="F51" s="760"/>
      <c r="G51" s="760"/>
      <c r="H51" s="760"/>
      <c r="I51" t="s">
        <v>465</v>
      </c>
    </row>
  </sheetData>
  <mergeCells count="30">
    <mergeCell ref="A2:G2"/>
    <mergeCell ref="H2:L2"/>
    <mergeCell ref="B48:C48"/>
    <mergeCell ref="E51:H51"/>
    <mergeCell ref="C29:D29"/>
    <mergeCell ref="G29:I29"/>
    <mergeCell ref="A21:L21"/>
    <mergeCell ref="A22:L22"/>
    <mergeCell ref="A23:L23"/>
    <mergeCell ref="A9:L9"/>
    <mergeCell ref="A26:B26"/>
    <mergeCell ref="C26:L26"/>
    <mergeCell ref="A18:L18"/>
    <mergeCell ref="A19:C19"/>
    <mergeCell ref="D19:L19"/>
    <mergeCell ref="A20:L20"/>
    <mergeCell ref="A6:B6"/>
    <mergeCell ref="C6:L6"/>
    <mergeCell ref="A7:L7"/>
    <mergeCell ref="A8:L8"/>
    <mergeCell ref="A13:L13"/>
    <mergeCell ref="C31:F31"/>
    <mergeCell ref="H31:K31"/>
    <mergeCell ref="A10:L10"/>
    <mergeCell ref="A11:L11"/>
    <mergeCell ref="A12:L12"/>
    <mergeCell ref="A14:D14"/>
    <mergeCell ref="B15:L15"/>
    <mergeCell ref="A16:L16"/>
    <mergeCell ref="A17:L17"/>
  </mergeCells>
  <hyperlinks>
    <hyperlink ref="K4:L4" location="Índice!A1" display="Voltar ao índice" xr:uid="{00000000-0004-0000-1600-000000000000}"/>
  </hyperlinks>
  <pageMargins left="0.7" right="0.7" top="1.4071875" bottom="0.75" header="0.3" footer="0.3"/>
  <pageSetup paperSize="9" scale="68" fitToHeight="0" orientation="portrait" r:id="rId1"/>
  <headerFooter>
    <oddHeader>&amp;L&amp;G&amp;C
&amp;"-,Negrito"&amp;24Caderno de Campo</oddHeader>
    <oddFooter>&amp;C&amp;G</oddFooter>
  </headerFooter>
  <legacy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23</vt:i4>
      </vt:variant>
      <vt:variant>
        <vt:lpstr>Intervalos com Nome</vt:lpstr>
      </vt:variant>
      <vt:variant>
        <vt:i4>2</vt:i4>
      </vt:variant>
    </vt:vector>
  </HeadingPairs>
  <TitlesOfParts>
    <vt:vector size="25" baseType="lpstr">
      <vt:lpstr>Índice</vt:lpstr>
      <vt:lpstr>1 IDENTIFICAÇÃO BEN_EXP_AT_OC</vt:lpstr>
      <vt:lpstr>2 Caraterização área sob comp.</vt:lpstr>
      <vt:lpstr>3 Caraterização do Efe.Pecuário</vt:lpstr>
      <vt:lpstr>4 Registo Prot Fitossanitária</vt:lpstr>
      <vt:lpstr>5 Registo Operações Culturais </vt:lpstr>
      <vt:lpstr>5A Registo Operações Fertil</vt:lpstr>
      <vt:lpstr>5B Registo das Atividades</vt:lpstr>
      <vt:lpstr>5C Registo de atividades PP</vt:lpstr>
      <vt:lpstr>5D Registo de atividades FA</vt:lpstr>
      <vt:lpstr>6 Registo Cal. Rega</vt:lpstr>
      <vt:lpstr>7 Registo de Produção Animal</vt:lpstr>
      <vt:lpstr>8 Registo Pós-colheita</vt:lpstr>
      <vt:lpstr>9 Registo de Aquisições Entra</vt:lpstr>
      <vt:lpstr>10 Registo de Vendas</vt:lpstr>
      <vt:lpstr>11 Registo Gestão EP</vt:lpstr>
      <vt:lpstr>Anexo 1-Plano de Fertilização</vt:lpstr>
      <vt:lpstr>Anexo 2 - Plano Gest. Pastoreio</vt:lpstr>
      <vt:lpstr>Anexo 3 - Plano Alimentar</vt:lpstr>
      <vt:lpstr>Anexo 4 - Plano Boas Práticas H</vt:lpstr>
      <vt:lpstr>Anexo 5 - Plano de reprodução</vt:lpstr>
      <vt:lpstr>Anexo 6 - Registo visitas</vt:lpstr>
      <vt:lpstr>Anexo 7 - Parecer</vt:lpstr>
      <vt:lpstr>'Anexo 6 - Registo visitas'!_ftn1</vt:lpstr>
      <vt:lpstr>'Anexo 6 - Registo visitas'!_ftnref1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DSPP</dc:creator>
  <cp:lastModifiedBy>AJASUL</cp:lastModifiedBy>
  <cp:lastPrinted>2026-02-20T10:21:19Z</cp:lastPrinted>
  <dcterms:created xsi:type="dcterms:W3CDTF">2023-01-13T17:30:45Z</dcterms:created>
  <dcterms:modified xsi:type="dcterms:W3CDTF">2026-05-20T07:32:49Z</dcterms:modified>
</cp:coreProperties>
</file>